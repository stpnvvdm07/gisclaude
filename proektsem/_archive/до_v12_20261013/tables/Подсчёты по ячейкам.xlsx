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ртикальные пропорции" sheetId="1" state="visible" r:id="rId1"/>
    <sheet xmlns:r="http://schemas.openxmlformats.org/officeDocument/2006/relationships" name="Планировочные размеры" sheetId="2" state="visible" r:id="rId2"/>
    <sheet xmlns:r="http://schemas.openxmlformats.org/officeDocument/2006/relationships" name="Степень замкнутости" sheetId="3" state="visible" r:id="rId3"/>
    <sheet xmlns:r="http://schemas.openxmlformats.org/officeDocument/2006/relationships" name="Комфортност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t="inlineStr">
        <is>
          <t>Номер яч</t>
        </is>
      </c>
      <c r="B1" t="inlineStr">
        <is>
          <t>площадь фасада</t>
        </is>
      </c>
      <c r="C1" t="inlineStr">
        <is>
          <t>площадь ячейки</t>
        </is>
      </c>
      <c r="D1" t="inlineStr">
        <is>
          <t>коэф</t>
        </is>
      </c>
      <c r="E1" t="inlineStr">
        <is>
          <t>итог</t>
        </is>
      </c>
      <c r="F1" t="inlineStr"/>
      <c r="G1" t="inlineStr">
        <is>
          <t>длина фасада 1</t>
        </is>
      </c>
      <c r="H1" t="inlineStr">
        <is>
          <t>Этажность 1</t>
        </is>
      </c>
      <c r="I1" t="inlineStr">
        <is>
          <t>длина фасада 2</t>
        </is>
      </c>
      <c r="J1" t="inlineStr">
        <is>
          <t>Этажность 2</t>
        </is>
      </c>
      <c r="K1" t="inlineStr">
        <is>
          <t>длина фасада 3</t>
        </is>
      </c>
      <c r="L1" t="inlineStr">
        <is>
          <t>Этажность 3</t>
        </is>
      </c>
      <c r="M1" t="inlineStr">
        <is>
          <t>длина фасада 4</t>
        </is>
      </c>
      <c r="N1" t="inlineStr">
        <is>
          <t>Этажность 4</t>
        </is>
      </c>
      <c r="O1" t="inlineStr">
        <is>
          <t>примечание</t>
        </is>
      </c>
    </row>
    <row r="2">
      <c r="A2" t="n">
        <v>1</v>
      </c>
      <c r="B2">
        <f>G2*H2*3+I2*J2*3+K2*L2*3+M2*N2*3</f>
        <v/>
      </c>
      <c r="C2" t="n">
        <v>2823</v>
      </c>
      <c r="D2">
        <f>B2/C2</f>
        <v/>
      </c>
      <c r="E2">
        <f>IF(B2=0,"Нет",IF(AND(D2&gt;=1.3,D2&lt;=2),"Высокий",IF(AND(D2&gt;=0.6,D2&lt;1.3),"Средний","Низкий")))</f>
        <v/>
      </c>
      <c r="F2" t="inlineStr"/>
    </row>
    <row r="3">
      <c r="A3" t="n">
        <v>2</v>
      </c>
      <c r="B3">
        <f>G3*H3*3+I3*J3*3+K3*L3*3+M3*N3*3</f>
        <v/>
      </c>
      <c r="C3" t="n">
        <v>1462</v>
      </c>
      <c r="D3">
        <f>B3/C3</f>
        <v/>
      </c>
      <c r="E3">
        <f>IF(B3=0,"Нет",IF(AND(D3&gt;=1.3,D3&lt;=2),"Высокий",IF(AND(D3&gt;=0.6,D3&lt;1.3),"Средний","Низкий")))</f>
        <v/>
      </c>
      <c r="F3" t="inlineStr"/>
      <c r="G3" t="n">
        <v>79</v>
      </c>
      <c r="H3" t="n">
        <v>17</v>
      </c>
    </row>
    <row r="4">
      <c r="A4" t="n">
        <v>3</v>
      </c>
      <c r="B4">
        <f>G4*H4*3+I4*J4*3+K4*L4*3+M4*N4*3</f>
        <v/>
      </c>
      <c r="C4" t="n">
        <v>3806</v>
      </c>
      <c r="D4">
        <f>B4/C4</f>
        <v/>
      </c>
      <c r="E4">
        <f>IF(B4=0,"Нет",IF(AND(D4&gt;=1.3,D4&lt;=2),"Высокий",IF(AND(D4&gt;=0.6,D4&lt;1.3),"Средний","Низкий")))</f>
        <v/>
      </c>
      <c r="F4" t="inlineStr"/>
      <c r="G4" t="n">
        <v>18</v>
      </c>
      <c r="H4" t="n">
        <v>17</v>
      </c>
      <c r="I4" t="n">
        <v>70</v>
      </c>
      <c r="J4" t="n">
        <v>16</v>
      </c>
    </row>
    <row r="5">
      <c r="A5" t="n">
        <v>4</v>
      </c>
      <c r="B5">
        <f>G5*H5*3+I5*J5*3+K5*L5*3+M5*N5*3</f>
        <v/>
      </c>
      <c r="C5" t="n">
        <v>4012</v>
      </c>
      <c r="D5">
        <f>B5/C5</f>
        <v/>
      </c>
      <c r="E5">
        <f>IF(B5=0,"Нет",IF(AND(D5&gt;=1.3,D5&lt;=2),"Высокий",IF(AND(D5&gt;=0.6,D5&lt;1.3),"Средний","Низкий")))</f>
        <v/>
      </c>
      <c r="F5" t="inlineStr"/>
      <c r="G5" t="n">
        <v>74</v>
      </c>
      <c r="H5" t="n">
        <v>17</v>
      </c>
      <c r="I5" t="n">
        <v>97</v>
      </c>
      <c r="J5" t="n">
        <v>15</v>
      </c>
      <c r="K5" t="n">
        <v>44</v>
      </c>
      <c r="L5" t="n">
        <v>2</v>
      </c>
      <c r="M5" t="n">
        <v>20</v>
      </c>
      <c r="N5" t="n">
        <v>16</v>
      </c>
    </row>
    <row r="6">
      <c r="A6" t="n">
        <v>5</v>
      </c>
      <c r="B6">
        <f>G6*H6*3+I6*J6*3+K6*L6*3+M6*N6*3</f>
        <v/>
      </c>
      <c r="C6" t="n">
        <v>1970</v>
      </c>
      <c r="D6">
        <f>B6/C6</f>
        <v/>
      </c>
      <c r="E6">
        <f>IF(B6=0,"Нет",IF(AND(D6&gt;=1.3,D6&lt;=2),"Высокий",IF(AND(D6&gt;=0.6,D6&lt;1.3),"Средний","Низкий")))</f>
        <v/>
      </c>
      <c r="F6" t="inlineStr"/>
      <c r="G6" t="n">
        <v>24</v>
      </c>
      <c r="H6" t="n">
        <v>15</v>
      </c>
      <c r="I6" t="n">
        <v>42</v>
      </c>
      <c r="J6" t="n">
        <v>3</v>
      </c>
      <c r="K6" t="n">
        <v>74</v>
      </c>
      <c r="L6" t="n">
        <v>15</v>
      </c>
      <c r="M6" t="n">
        <v>60</v>
      </c>
      <c r="N6" t="n">
        <v>3</v>
      </c>
    </row>
    <row r="7">
      <c r="A7" t="n">
        <v>6</v>
      </c>
      <c r="B7">
        <f>G7*H7*3+I7*J7*3+K7*L7*3+M7*N7*3</f>
        <v/>
      </c>
      <c r="C7" t="n">
        <v>4204</v>
      </c>
      <c r="D7">
        <f>B7/C7</f>
        <v/>
      </c>
      <c r="E7">
        <f>IF(B7=0,"Нет",IF(AND(D7&gt;=1.3,D7&lt;=2),"Высокий",IF(AND(D7&gt;=0.6,D7&lt;1.3),"Средний","Низкий")))</f>
        <v/>
      </c>
      <c r="F7" t="inlineStr"/>
      <c r="G7" t="n">
        <v>115</v>
      </c>
      <c r="H7" t="n">
        <v>9</v>
      </c>
      <c r="I7" t="n">
        <v>19</v>
      </c>
      <c r="J7" t="n">
        <v>3</v>
      </c>
    </row>
    <row r="8">
      <c r="A8" t="n">
        <v>7</v>
      </c>
      <c r="B8">
        <f>G8*H8*3+I8*J8*3+K8*L8*3+M8*N8*3</f>
        <v/>
      </c>
      <c r="C8" t="n">
        <v>6328</v>
      </c>
      <c r="D8">
        <f>B8/C8</f>
        <v/>
      </c>
      <c r="E8">
        <f>IF(B8=0,"Нет",IF(AND(D8&gt;=1.3,D8&lt;=2),"Высокий",IF(AND(D8&gt;=0.6,D8&lt;1.3),"Средний","Низкий")))</f>
        <v/>
      </c>
      <c r="F8" t="inlineStr"/>
      <c r="G8" t="n">
        <v>6</v>
      </c>
      <c r="H8" t="n">
        <v>17</v>
      </c>
      <c r="I8" t="n">
        <v>63</v>
      </c>
      <c r="J8" t="n">
        <v>15</v>
      </c>
      <c r="K8" t="n">
        <v>57</v>
      </c>
      <c r="L8" t="n">
        <v>3</v>
      </c>
    </row>
    <row r="9">
      <c r="A9" t="n">
        <v>8</v>
      </c>
      <c r="B9">
        <f>G9*H9*3+I9*J9*3+K9*L9*3+M9*N9*3</f>
        <v/>
      </c>
      <c r="C9" t="n">
        <v>3009</v>
      </c>
      <c r="D9">
        <f>B9/C9</f>
        <v/>
      </c>
      <c r="E9">
        <f>IF(B9=0,"Нет",IF(AND(D9&gt;=1.3,D9&lt;=2),"Высокий",IF(AND(D9&gt;=0.6,D9&lt;1.3),"Средний","Низкий")))</f>
        <v/>
      </c>
      <c r="F9" t="inlineStr"/>
      <c r="G9" t="n">
        <v>78</v>
      </c>
      <c r="H9" t="n">
        <v>3</v>
      </c>
      <c r="I9" t="n">
        <v>7</v>
      </c>
      <c r="J9" t="n">
        <v>9</v>
      </c>
      <c r="K9" t="n">
        <v>65</v>
      </c>
      <c r="L9" t="n">
        <v>9</v>
      </c>
      <c r="M9" t="n">
        <v>6</v>
      </c>
      <c r="N9" t="n">
        <v>9</v>
      </c>
    </row>
    <row r="10">
      <c r="A10" t="n">
        <v>9</v>
      </c>
      <c r="B10">
        <f>G10*H10*3+I10*J10*3+K10*L10*3+M10*N10*3</f>
        <v/>
      </c>
      <c r="C10" t="n">
        <v>14584</v>
      </c>
      <c r="D10">
        <f>B10/C10</f>
        <v/>
      </c>
      <c r="E10">
        <f>IF(B10=0,"Нет",IF(AND(D10&gt;=1.3,D10&lt;=2),"Высокий",IF(AND(D10&gt;=0.6,D10&lt;1.3),"Средний","Низкий")))</f>
        <v/>
      </c>
      <c r="F10" t="inlineStr"/>
      <c r="G10" t="n">
        <v>162</v>
      </c>
      <c r="H10" t="n">
        <v>9</v>
      </c>
    </row>
    <row r="11">
      <c r="A11" t="n">
        <v>10</v>
      </c>
      <c r="B11">
        <f>G11*H11*3+I11*J11*3+K11*L11*3+M11*N11*3</f>
        <v/>
      </c>
      <c r="C11" t="n">
        <v>1926</v>
      </c>
      <c r="D11">
        <f>B11/C11</f>
        <v/>
      </c>
      <c r="E11">
        <f>IF(B11=0,"Нет",IF(AND(D11&gt;=1.3,D11&lt;=2),"Высокий",IF(AND(D11&gt;=0.6,D11&lt;1.3),"Средний","Низкий")))</f>
        <v/>
      </c>
      <c r="F11" t="inlineStr"/>
      <c r="G11" t="n">
        <v>6</v>
      </c>
      <c r="H11" t="n">
        <v>9</v>
      </c>
      <c r="I11" t="n">
        <v>40</v>
      </c>
      <c r="J11" t="n">
        <v>3</v>
      </c>
      <c r="K11" t="n">
        <v>32</v>
      </c>
      <c r="L11" t="n">
        <v>9</v>
      </c>
      <c r="M11" t="n">
        <v>4</v>
      </c>
      <c r="N11" t="n">
        <v>1</v>
      </c>
    </row>
    <row r="12">
      <c r="A12" t="n">
        <v>11</v>
      </c>
      <c r="B12">
        <f>G12*H12*3+I12*J12*3+K12*L12*3+M12*N12*3</f>
        <v/>
      </c>
      <c r="C12" t="n">
        <v>15274</v>
      </c>
      <c r="D12">
        <f>B12/C12</f>
        <v/>
      </c>
      <c r="E12">
        <f>IF(B12=0,"Нет",IF(AND(D12&gt;=1.3,D12&lt;=2),"Высокий",IF(AND(D12&gt;=0.6,D12&lt;1.3),"Средний","Низкий")))</f>
        <v/>
      </c>
      <c r="F12" t="inlineStr"/>
      <c r="G12" t="n">
        <v>65</v>
      </c>
      <c r="H12" t="n">
        <v>9</v>
      </c>
      <c r="I12" t="n">
        <v>94</v>
      </c>
      <c r="J12" t="n">
        <v>9</v>
      </c>
      <c r="K12" t="n">
        <v>156</v>
      </c>
      <c r="L12" t="n">
        <v>9</v>
      </c>
    </row>
    <row r="13">
      <c r="A13" t="n">
        <v>12</v>
      </c>
      <c r="B13">
        <f>G13*H13*3+I13*J13*3+K13*L13*3+M13*N13*3</f>
        <v/>
      </c>
      <c r="C13" t="n">
        <v>5204</v>
      </c>
      <c r="D13">
        <f>B13/C13</f>
        <v/>
      </c>
      <c r="E13">
        <f>IF(B13=0,"Нет",IF(AND(D13&gt;=1.3,D13&lt;=2),"Высокий",IF(AND(D13&gt;=0.6,D13&lt;1.3),"Средний","Низкий")))</f>
        <v/>
      </c>
      <c r="F13" t="inlineStr"/>
      <c r="G13" t="n">
        <v>12</v>
      </c>
      <c r="H13" t="n">
        <v>9</v>
      </c>
    </row>
    <row r="14">
      <c r="A14" t="n">
        <v>13</v>
      </c>
      <c r="B14">
        <f>G14*H14*3+I14*J14*3+K14*L14*3+M14*N14*3</f>
        <v/>
      </c>
      <c r="C14" t="n">
        <v>2673</v>
      </c>
      <c r="D14">
        <f>B14/C14</f>
        <v/>
      </c>
      <c r="E14">
        <f>IF(B14=0,"Нет",IF(AND(D14&gt;=1.3,D14&lt;=2),"Высокий",IF(AND(D14&gt;=0.6,D14&lt;1.3),"Средний","Низкий")))</f>
        <v/>
      </c>
      <c r="F14" t="inlineStr"/>
      <c r="G14" t="n">
        <v>27</v>
      </c>
      <c r="H14" t="n">
        <v>9</v>
      </c>
      <c r="I14" t="n">
        <v>93</v>
      </c>
      <c r="J14" t="n">
        <v>9</v>
      </c>
    </row>
    <row r="15">
      <c r="A15" t="n">
        <v>14</v>
      </c>
      <c r="B15">
        <f>G15*H15*3+I15*J15*3+K15*L15*3+M15*N15*3</f>
        <v/>
      </c>
      <c r="C15" t="n">
        <v>9413</v>
      </c>
      <c r="D15">
        <f>B15/C15</f>
        <v/>
      </c>
      <c r="E15">
        <f>IF(B15=0,"Нет",IF(AND(D15&gt;=1.3,D15&lt;=2),"Высокий",IF(AND(D15&gt;=0.6,D15&lt;1.3),"Средний","Низкий")))</f>
        <v/>
      </c>
      <c r="F15" t="inlineStr"/>
      <c r="G15" t="n">
        <v>93</v>
      </c>
      <c r="H15" t="n">
        <v>9</v>
      </c>
      <c r="I15" t="n">
        <v>43</v>
      </c>
      <c r="J15" t="n">
        <v>9</v>
      </c>
    </row>
    <row r="16">
      <c r="A16" t="n">
        <v>15</v>
      </c>
      <c r="B16">
        <f>G16*H16*3+I16*J16*3+K16*L16*3+M16*N16*3</f>
        <v/>
      </c>
      <c r="C16" t="n">
        <v>3968</v>
      </c>
      <c r="D16">
        <f>B16/C16</f>
        <v/>
      </c>
      <c r="E16">
        <f>IF(B16=0,"Нет",IF(AND(D16&gt;=1.3,D16&lt;=2),"Высокий",IF(AND(D16&gt;=0.6,D16&lt;1.3),"Средний","Низкий")))</f>
        <v/>
      </c>
      <c r="F16" t="inlineStr"/>
      <c r="G16" t="n">
        <v>93</v>
      </c>
      <c r="H16" t="n">
        <v>9</v>
      </c>
      <c r="I16" t="n">
        <v>9</v>
      </c>
      <c r="J16" t="n">
        <v>9</v>
      </c>
    </row>
    <row r="17">
      <c r="A17" t="n">
        <v>16</v>
      </c>
      <c r="B17">
        <f>G17*H17*3+I17*J17*3+K17*L17*3+M17*N17*3</f>
        <v/>
      </c>
      <c r="C17" t="n">
        <v>12850</v>
      </c>
      <c r="D17">
        <f>B17/C17</f>
        <v/>
      </c>
      <c r="E17">
        <f>IF(B17=0,"Нет",IF(AND(D17&gt;=1.3,D17&lt;=2),"Высокий",IF(AND(D17&gt;=0.6,D17&lt;1.3),"Средний","Низкий")))</f>
        <v/>
      </c>
      <c r="F17" t="inlineStr"/>
      <c r="G17" t="n">
        <v>62</v>
      </c>
      <c r="H17" t="n">
        <v>9</v>
      </c>
      <c r="I17" t="n">
        <v>109</v>
      </c>
      <c r="J17" t="n">
        <v>9</v>
      </c>
      <c r="K17" t="n">
        <v>29</v>
      </c>
      <c r="L17" t="n">
        <v>9</v>
      </c>
      <c r="M17" t="n">
        <v>106</v>
      </c>
      <c r="N17" t="n">
        <v>9</v>
      </c>
    </row>
    <row r="18">
      <c r="A18" t="n">
        <v>17</v>
      </c>
      <c r="B18">
        <f>G18*H18*3+I18*J18*3+K18*L18*3+M18*N18*3</f>
        <v/>
      </c>
      <c r="C18" t="n">
        <v>8223</v>
      </c>
      <c r="D18">
        <f>B18/C18</f>
        <v/>
      </c>
      <c r="E18">
        <f>IF(B18=0,"Нет",IF(AND(D18&gt;=1.3,D18&lt;=2),"Высокий",IF(AND(D18&gt;=0.6,D18&lt;1.3),"Средний","Низкий")))</f>
        <v/>
      </c>
      <c r="F18" t="inlineStr"/>
      <c r="G18" t="n">
        <v>28</v>
      </c>
      <c r="H18" t="n">
        <v>9</v>
      </c>
      <c r="I18" t="n">
        <v>6</v>
      </c>
      <c r="J18" t="n">
        <v>9</v>
      </c>
      <c r="K18" t="n">
        <v>69</v>
      </c>
      <c r="L18" t="n">
        <v>9</v>
      </c>
      <c r="M18" t="n">
        <v>6</v>
      </c>
      <c r="N18" t="n">
        <v>9</v>
      </c>
    </row>
    <row r="19">
      <c r="A19" t="n">
        <v>18</v>
      </c>
      <c r="B19">
        <f>G19*H19*3+I19*J19*3+K19*L19*3+M19*N19*3</f>
        <v/>
      </c>
      <c r="C19" t="n">
        <v>1941</v>
      </c>
      <c r="D19">
        <f>B19/C19</f>
        <v/>
      </c>
      <c r="E19">
        <f>IF(B19=0,"Нет",IF(AND(D19&gt;=1.3,D19&lt;=2),"Высокий",IF(AND(D19&gt;=0.6,D19&lt;1.3),"Средний","Низкий")))</f>
        <v/>
      </c>
      <c r="F19" t="inlineStr"/>
      <c r="G19" t="n">
        <v>115</v>
      </c>
      <c r="H19" t="n">
        <v>9</v>
      </c>
    </row>
    <row r="20">
      <c r="A20" t="n">
        <v>19</v>
      </c>
      <c r="B20">
        <f>G20*H20*3+I20*J20*3+K20*L20*3+M20*N20*3</f>
        <v/>
      </c>
      <c r="C20" t="n">
        <v>1345</v>
      </c>
      <c r="D20">
        <f>B20/C20</f>
        <v/>
      </c>
      <c r="E20">
        <f>IF(B20=0,"Нет",IF(AND(D20&gt;=1.3,D20&lt;=2),"Высокий",IF(AND(D20&gt;=0.6,D20&lt;1.3),"Средний","Низкий")))</f>
        <v/>
      </c>
      <c r="F20" t="inlineStr"/>
      <c r="G20" t="n">
        <v>59</v>
      </c>
      <c r="H20" t="n">
        <v>9</v>
      </c>
    </row>
    <row r="21">
      <c r="A21" t="n">
        <v>20</v>
      </c>
      <c r="B21">
        <f>G21*H21*3+I21*J21*3+K21*L21*3+M21*N21*3</f>
        <v/>
      </c>
      <c r="C21" t="n">
        <v>4258</v>
      </c>
      <c r="D21">
        <f>B21/C21</f>
        <v/>
      </c>
      <c r="E21">
        <f>IF(B21=0,"Нет",IF(AND(D21&gt;=1.3,D21&lt;=2),"Высокий",IF(AND(D21&gt;=0.6,D21&lt;1.3),"Средний","Низкий")))</f>
        <v/>
      </c>
      <c r="F21" t="inlineStr"/>
      <c r="G21" t="n">
        <v>42</v>
      </c>
      <c r="H21" t="n">
        <v>9</v>
      </c>
      <c r="I21" t="n">
        <v>45</v>
      </c>
      <c r="J21" t="n">
        <v>17</v>
      </c>
    </row>
    <row r="22">
      <c r="A22" t="n">
        <v>21</v>
      </c>
      <c r="B22">
        <f>G22*H22*3+I22*J22*3+K22*L22*3+M22*N22*3</f>
        <v/>
      </c>
      <c r="C22" t="n">
        <v>2551</v>
      </c>
      <c r="D22">
        <f>B22/C22</f>
        <v/>
      </c>
      <c r="E22">
        <f>IF(B22=0,"Нет",IF(AND(D22&gt;=1.3,D22&lt;=2),"Высокий",IF(AND(D22&gt;=0.6,D22&lt;1.3),"Средний","Низкий")))</f>
        <v/>
      </c>
      <c r="F22" t="inlineStr"/>
      <c r="G22" t="n">
        <v>45</v>
      </c>
      <c r="H22" t="n">
        <v>17</v>
      </c>
    </row>
    <row r="23">
      <c r="A23" t="n">
        <v>22</v>
      </c>
      <c r="B23">
        <f>G23*H23*3+I23*J23*3+K23*L23*3+M23*N23*3</f>
        <v/>
      </c>
      <c r="C23" t="n">
        <v>2835</v>
      </c>
      <c r="D23">
        <f>B23/C23</f>
        <v/>
      </c>
      <c r="E23">
        <f>IF(B23=0,"Нет",IF(AND(D23&gt;=1.3,D23&lt;=2),"Высокий",IF(AND(D23&gt;=0.6,D23&lt;1.3),"Средний","Низкий")))</f>
        <v/>
      </c>
      <c r="F23" t="inlineStr"/>
      <c r="G23" t="n">
        <v>92</v>
      </c>
      <c r="H23" t="n">
        <v>9</v>
      </c>
    </row>
    <row r="24">
      <c r="A24" t="n">
        <v>23</v>
      </c>
      <c r="B24">
        <f>G24*H24*3+I24*J24*3+K24*L24*3+M24*N24*3</f>
        <v/>
      </c>
      <c r="C24" t="n">
        <v>7393</v>
      </c>
      <c r="D24">
        <f>B24/C24</f>
        <v/>
      </c>
      <c r="E24">
        <f>IF(B24=0,"Нет",IF(AND(D24&gt;=1.3,D24&lt;=2),"Высокий",IF(AND(D24&gt;=0.6,D24&lt;1.3),"Средний","Низкий")))</f>
        <v/>
      </c>
      <c r="F24" t="inlineStr"/>
      <c r="G24" t="n">
        <v>140</v>
      </c>
      <c r="H24" t="n">
        <v>9</v>
      </c>
      <c r="I24" t="n">
        <v>41</v>
      </c>
      <c r="J24" t="n">
        <v>9</v>
      </c>
      <c r="K24" t="n">
        <v>46</v>
      </c>
      <c r="L24" t="n">
        <v>3</v>
      </c>
    </row>
    <row r="25">
      <c r="A25" t="n">
        <v>24</v>
      </c>
      <c r="B25">
        <f>G25*H25*3+I25*J25*3+K25*L25*3+M25*N25*3</f>
        <v/>
      </c>
      <c r="C25" t="n">
        <v>4468</v>
      </c>
      <c r="D25">
        <f>B25/C25</f>
        <v/>
      </c>
      <c r="E25">
        <f>IF(B25=0,"Нет",IF(AND(D25&gt;=1.3,D25&lt;=2),"Высокий",IF(AND(D25&gt;=0.6,D25&lt;1.3),"Средний","Низкий")))</f>
        <v/>
      </c>
      <c r="F25" t="inlineStr"/>
      <c r="G25" t="n">
        <v>67</v>
      </c>
      <c r="H25" t="n">
        <v>9</v>
      </c>
      <c r="I25" t="n">
        <v>57</v>
      </c>
      <c r="J25" t="n">
        <v>3</v>
      </c>
    </row>
    <row r="26">
      <c r="A26" t="n">
        <v>25</v>
      </c>
      <c r="B26">
        <f>G26*H26*3+I26*J26*3+K26*L26*3+M26*N26*3</f>
        <v/>
      </c>
      <c r="C26" t="n">
        <v>13528</v>
      </c>
      <c r="D26">
        <f>B26/C26</f>
        <v/>
      </c>
      <c r="E26">
        <f>IF(B26=0,"Нет",IF(AND(D26&gt;=1.3,D26&lt;=2),"Высокий",IF(AND(D26&gt;=0.6,D26&lt;1.3),"Средний","Низкий")))</f>
        <v/>
      </c>
      <c r="F26" t="inlineStr"/>
      <c r="G26" t="n">
        <v>13</v>
      </c>
      <c r="H26" t="n">
        <v>3</v>
      </c>
      <c r="I26" t="n">
        <v>24</v>
      </c>
      <c r="J26" t="n">
        <v>9</v>
      </c>
      <c r="K26" t="n">
        <v>9</v>
      </c>
      <c r="L26" t="n">
        <v>3</v>
      </c>
    </row>
    <row r="27">
      <c r="A27" t="n">
        <v>26</v>
      </c>
      <c r="B27">
        <f>G27*H27*3+I27*J27*3+K27*L27*3+M27*N27*3</f>
        <v/>
      </c>
      <c r="C27" t="n">
        <v>3843</v>
      </c>
      <c r="D27">
        <f>B27/C27</f>
        <v/>
      </c>
      <c r="E27">
        <f>IF(B27=0,"Нет",IF(AND(D27&gt;=1.3,D27&lt;=2),"Высокий",IF(AND(D27&gt;=0.6,D27&lt;1.3),"Средний","Низкий")))</f>
        <v/>
      </c>
      <c r="F27" t="inlineStr"/>
      <c r="G27" t="n">
        <v>34</v>
      </c>
      <c r="H27" t="n">
        <v>9</v>
      </c>
      <c r="I27" t="n">
        <v>55</v>
      </c>
      <c r="J27" t="n">
        <v>3</v>
      </c>
    </row>
    <row r="28">
      <c r="A28" t="n">
        <v>27</v>
      </c>
      <c r="B28">
        <f>G28*H28*3+I28*J28*3+K28*L28*3+M28*N28*3</f>
        <v/>
      </c>
      <c r="C28" t="n">
        <v>6162</v>
      </c>
      <c r="D28">
        <f>B28/C28</f>
        <v/>
      </c>
      <c r="E28">
        <f>IF(B28=0,"Нет",IF(AND(D28&gt;=1.3,D28&lt;=2),"Высокий",IF(AND(D28&gt;=0.6,D28&lt;1.3),"Средний","Низкий")))</f>
        <v/>
      </c>
      <c r="F28" t="inlineStr"/>
      <c r="G28" t="n">
        <v>25</v>
      </c>
      <c r="H28" t="n">
        <v>1</v>
      </c>
      <c r="I28" t="n">
        <v>93</v>
      </c>
      <c r="J28" t="n">
        <v>9</v>
      </c>
    </row>
    <row r="29">
      <c r="A29" t="n">
        <v>28</v>
      </c>
      <c r="B29">
        <f>G29*H29*3+I29*J29*3+K29*L29*3+M29*N29*3</f>
        <v/>
      </c>
      <c r="C29" t="n">
        <v>5941</v>
      </c>
      <c r="D29">
        <f>B29/C29</f>
        <v/>
      </c>
      <c r="E29">
        <f>IF(B29=0,"Нет",IF(AND(D29&gt;=1.3,D29&lt;=2),"Высокий",IF(AND(D29&gt;=0.6,D29&lt;1.3),"Средний","Низкий")))</f>
        <v/>
      </c>
      <c r="F29" t="inlineStr"/>
      <c r="G29" t="n">
        <v>93</v>
      </c>
      <c r="H29" t="n">
        <v>9</v>
      </c>
      <c r="I29" t="n">
        <v>17</v>
      </c>
      <c r="J29" t="n">
        <v>17</v>
      </c>
      <c r="O29" t="inlineStr">
        <is>
          <t>сумма длин фасадов 110 м, в листе замкнутости 156 м: проверить, все ли фасады внесены</t>
        </is>
      </c>
    </row>
    <row r="30">
      <c r="A30" t="n">
        <v>29</v>
      </c>
      <c r="B30">
        <f>G30*H30*3+I30*J30*3+K30*L30*3+M30*N30*3</f>
        <v/>
      </c>
      <c r="C30" t="n">
        <v>4975</v>
      </c>
      <c r="D30">
        <f>B30/C30</f>
        <v/>
      </c>
      <c r="E30">
        <f>IF(B30=0,"Нет",IF(AND(D30&gt;=1.3,D30&lt;=2),"Высокий",IF(AND(D30&gt;=0.6,D30&lt;1.3),"Средний","Низкий")))</f>
        <v/>
      </c>
      <c r="F30" t="inlineStr"/>
      <c r="G30" t="n">
        <v>93</v>
      </c>
      <c r="H30" t="n">
        <v>9</v>
      </c>
    </row>
    <row r="31">
      <c r="A31" t="n">
        <v>30</v>
      </c>
      <c r="B31">
        <f>G31*H31*3+I31*J31*3+K31*L31*3+M31*N31*3</f>
        <v/>
      </c>
      <c r="C31" t="n">
        <v>8390</v>
      </c>
      <c r="D31">
        <f>B31/C31</f>
        <v/>
      </c>
      <c r="E31">
        <f>IF(B31=0,"Нет",IF(AND(D31&gt;=1.3,D31&lt;=2),"Высокий",IF(AND(D31&gt;=0.6,D31&lt;1.3),"Средний","Низкий")))</f>
        <v/>
      </c>
      <c r="F31" t="inlineStr"/>
      <c r="G31" t="n">
        <v>80</v>
      </c>
      <c r="H31" t="n">
        <v>9</v>
      </c>
      <c r="I31" t="n">
        <v>66</v>
      </c>
      <c r="J31" t="n">
        <v>3</v>
      </c>
    </row>
    <row r="32">
      <c r="A32" t="n">
        <v>31</v>
      </c>
      <c r="B32">
        <f>G32*H32*3+I32*J32*3+K32*L32*3+M32*N32*3</f>
        <v/>
      </c>
      <c r="C32" t="n">
        <v>4065</v>
      </c>
      <c r="D32">
        <f>B32/C32</f>
        <v/>
      </c>
      <c r="E32">
        <f>IF(B32=0,"Нет",IF(AND(D32&gt;=1.3,D32&lt;=2),"Высокий",IF(AND(D32&gt;=0.6,D32&lt;1.3),"Средний","Низкий")))</f>
        <v/>
      </c>
      <c r="F32" t="inlineStr"/>
      <c r="G32" t="n">
        <v>70</v>
      </c>
      <c r="H32" t="n">
        <v>3</v>
      </c>
      <c r="O32" t="inlineStr">
        <is>
          <t>сумма длин фасадов 70 м, в листе замкнутости 106 м: проверить, все ли фасады внесены</t>
        </is>
      </c>
    </row>
    <row r="33">
      <c r="A33" t="n">
        <v>32</v>
      </c>
      <c r="B33">
        <f>G33*H33*3+I33*J33*3+K33*L33*3+M33*N33*3</f>
        <v/>
      </c>
      <c r="C33" t="n">
        <v>9100</v>
      </c>
      <c r="D33">
        <f>B33/C33</f>
        <v/>
      </c>
      <c r="E33">
        <f>IF(B33=0,"Нет",IF(AND(D33&gt;=1.3,D33&lt;=2),"Высокий",IF(AND(D33&gt;=0.6,D33&lt;1.3),"Средний","Низкий")))</f>
        <v/>
      </c>
      <c r="F33" t="inlineStr"/>
      <c r="G33" t="n">
        <v>70</v>
      </c>
      <c r="H33" t="n">
        <v>9</v>
      </c>
      <c r="I33" t="n">
        <v>70</v>
      </c>
      <c r="J33" t="n">
        <v>3</v>
      </c>
    </row>
    <row r="34">
      <c r="A34" t="n">
        <v>33</v>
      </c>
      <c r="B34">
        <f>G34*H34*3+I34*J34*3+K34*L34*3+M34*N34*3</f>
        <v/>
      </c>
      <c r="C34" t="n">
        <v>4720</v>
      </c>
      <c r="D34">
        <f>B34/C34</f>
        <v/>
      </c>
      <c r="E34">
        <f>IF(B34=0,"Нет",IF(AND(D34&gt;=1.3,D34&lt;=2),"Высокий",IF(AND(D34&gt;=0.6,D34&lt;1.3),"Средний","Низкий")))</f>
        <v/>
      </c>
      <c r="F34" t="inlineStr"/>
      <c r="G34" t="n">
        <v>17</v>
      </c>
      <c r="H34" t="n">
        <v>3</v>
      </c>
      <c r="I34" t="n">
        <v>37</v>
      </c>
      <c r="J34" t="n">
        <v>9</v>
      </c>
      <c r="K34" t="n">
        <v>95</v>
      </c>
      <c r="L34" t="n">
        <v>9</v>
      </c>
    </row>
    <row r="35">
      <c r="A35" t="n">
        <v>34</v>
      </c>
      <c r="B35">
        <f>G35*H35*3+I35*J35*3+K35*L35*3+M35*N35*3</f>
        <v/>
      </c>
      <c r="C35" t="n">
        <v>13806</v>
      </c>
      <c r="D35">
        <f>B35/C35</f>
        <v/>
      </c>
      <c r="E35">
        <f>IF(B35=0,"Нет",IF(AND(D35&gt;=1.3,D35&lt;=2),"Высокий",IF(AND(D35&gt;=0.6,D35&lt;1.3),"Средний","Низкий")))</f>
        <v/>
      </c>
      <c r="F35" t="inlineStr"/>
      <c r="G35" t="n">
        <v>95</v>
      </c>
      <c r="H35" t="n">
        <v>9</v>
      </c>
      <c r="I35" t="n">
        <v>13</v>
      </c>
      <c r="J35" t="n">
        <v>9</v>
      </c>
      <c r="K35" t="n">
        <v>7</v>
      </c>
      <c r="L35" t="n">
        <v>9</v>
      </c>
      <c r="M35" t="n">
        <v>6</v>
      </c>
      <c r="N35" t="n">
        <v>9</v>
      </c>
    </row>
    <row r="36">
      <c r="A36" t="n">
        <v>35</v>
      </c>
      <c r="B36">
        <f>G36*H36*3+I36*J36*3+K36*L36*3+M36*N36*3</f>
        <v/>
      </c>
      <c r="C36" t="n">
        <v>14117</v>
      </c>
      <c r="D36">
        <f>B36/C36</f>
        <v/>
      </c>
      <c r="E36">
        <f>IF(B36=0,"Нет",IF(AND(D36&gt;=1.3,D36&lt;=2),"Высокий",IF(AND(D36&gt;=0.6,D36&lt;1.3),"Средний","Низкий")))</f>
        <v/>
      </c>
      <c r="F36" t="inlineStr"/>
      <c r="G36" t="n">
        <v>73</v>
      </c>
      <c r="H36" t="n">
        <v>3</v>
      </c>
      <c r="I36" t="n">
        <v>111</v>
      </c>
      <c r="J36" t="n">
        <v>9</v>
      </c>
      <c r="K36" t="n">
        <v>114</v>
      </c>
      <c r="L36" t="n">
        <v>9</v>
      </c>
      <c r="M36" t="n">
        <v>10</v>
      </c>
      <c r="N36" t="n">
        <v>1</v>
      </c>
    </row>
    <row r="37">
      <c r="A37" t="n">
        <v>36</v>
      </c>
      <c r="B37">
        <f>G37*H37*3+I37*J37*3+K37*L37*3+M37*N37*3</f>
        <v/>
      </c>
      <c r="C37" t="n">
        <v>15936</v>
      </c>
      <c r="D37">
        <f>B37/C37</f>
        <v/>
      </c>
      <c r="E37">
        <f>IF(B37=0,"Нет",IF(AND(D37&gt;=1.3,D37&lt;=2),"Высокий",IF(AND(D37&gt;=0.6,D37&lt;1.3),"Средний","Низкий")))</f>
        <v/>
      </c>
      <c r="F37" t="inlineStr"/>
      <c r="G37" t="n">
        <v>111</v>
      </c>
      <c r="H37" t="n">
        <v>9</v>
      </c>
      <c r="I37" t="n">
        <v>73</v>
      </c>
      <c r="J37" t="n">
        <v>9</v>
      </c>
      <c r="K37" t="n">
        <v>118</v>
      </c>
      <c r="L37" t="n">
        <v>9</v>
      </c>
      <c r="M37" t="n">
        <v>7</v>
      </c>
      <c r="N37" t="n">
        <v>9</v>
      </c>
    </row>
    <row r="38">
      <c r="A38" t="n">
        <v>37</v>
      </c>
      <c r="B38">
        <f>G38*H38*3+I38*J38*3+K38*L38*3+M38*N38*3</f>
        <v/>
      </c>
      <c r="C38" t="n">
        <v>3550</v>
      </c>
      <c r="D38">
        <f>B38/C38</f>
        <v/>
      </c>
      <c r="E38">
        <f>IF(B38=0,"Нет",IF(AND(D38&gt;=1.3,D38&lt;=2),"Высокий",IF(AND(D38&gt;=0.6,D38&lt;1.3),"Средний","Низкий")))</f>
        <v/>
      </c>
      <c r="F38" t="inlineStr"/>
      <c r="G38" t="n">
        <v>100</v>
      </c>
      <c r="H38" t="n">
        <v>9</v>
      </c>
      <c r="I38" t="n">
        <v>18</v>
      </c>
      <c r="J38" t="n">
        <v>9</v>
      </c>
    </row>
    <row r="39">
      <c r="A39" t="n">
        <v>38</v>
      </c>
      <c r="B39">
        <f>G39*H39*3+I39*J39*3+K39*L39*3+M39*N39*3</f>
        <v/>
      </c>
      <c r="C39" t="n">
        <v>3725</v>
      </c>
      <c r="D39">
        <f>B39/C39</f>
        <v/>
      </c>
      <c r="E39">
        <f>IF(B39=0,"Нет",IF(AND(D39&gt;=1.3,D39&lt;=2),"Высокий",IF(AND(D39&gt;=0.6,D39&lt;1.3),"Средний","Низкий")))</f>
        <v/>
      </c>
      <c r="F39" t="inlineStr"/>
      <c r="G39" t="n">
        <v>88</v>
      </c>
      <c r="H39" t="n">
        <v>9</v>
      </c>
      <c r="I39" t="n">
        <v>5</v>
      </c>
      <c r="J39" t="n">
        <v>9</v>
      </c>
    </row>
    <row r="40">
      <c r="A40" t="n">
        <v>39</v>
      </c>
      <c r="B40">
        <f>G40*H40*3+I40*J40*3+K40*L40*3+M40*N40*3</f>
        <v/>
      </c>
      <c r="C40" t="n">
        <v>5164</v>
      </c>
      <c r="D40">
        <f>B40/C40</f>
        <v/>
      </c>
      <c r="E40">
        <f>IF(B40=0,"Нет",IF(AND(D40&gt;=1.3,D40&lt;=2),"Высокий",IF(AND(D40&gt;=0.6,D40&lt;1.3),"Средний","Низкий")))</f>
        <v/>
      </c>
      <c r="F40" t="inlineStr"/>
      <c r="G40" t="n">
        <v>93</v>
      </c>
      <c r="H40" t="n">
        <v>9</v>
      </c>
      <c r="I40" t="n">
        <v>40</v>
      </c>
      <c r="J40" t="n">
        <v>14</v>
      </c>
    </row>
    <row r="41">
      <c r="A41" t="n">
        <v>40</v>
      </c>
      <c r="B41">
        <f>G41*H41*3+I41*J41*3+K41*L41*3+M41*N41*3</f>
        <v/>
      </c>
      <c r="C41" t="n">
        <v>17615</v>
      </c>
      <c r="D41">
        <f>B41/C41</f>
        <v/>
      </c>
      <c r="E41">
        <f>IF(B41=0,"Нет",IF(AND(D41&gt;=1.3,D41&lt;=2),"Высокий",IF(AND(D41&gt;=0.6,D41&lt;1.3),"Средний","Низкий")))</f>
        <v/>
      </c>
      <c r="F41" t="inlineStr"/>
      <c r="G41" t="n">
        <v>120</v>
      </c>
      <c r="H41" t="n">
        <v>9</v>
      </c>
      <c r="I41" t="n">
        <v>71</v>
      </c>
      <c r="J41" t="n">
        <v>9</v>
      </c>
      <c r="K41" t="n">
        <v>157</v>
      </c>
      <c r="L41" t="n">
        <v>9</v>
      </c>
      <c r="M41" t="n">
        <v>63</v>
      </c>
      <c r="N41" t="n">
        <v>9</v>
      </c>
    </row>
    <row r="42">
      <c r="A42" t="n">
        <v>41</v>
      </c>
      <c r="B42">
        <f>G42*H42*3+I42*J42*3+K42*L42*3+M42*N42*3</f>
        <v/>
      </c>
      <c r="C42" t="n">
        <v>7854</v>
      </c>
      <c r="D42">
        <f>B42/C42</f>
        <v/>
      </c>
      <c r="E42">
        <f>IF(B42=0,"Нет",IF(AND(D42&gt;=1.3,D42&lt;=2),"Высокий",IF(AND(D42&gt;=0.6,D42&lt;1.3),"Средний","Низкий")))</f>
        <v/>
      </c>
      <c r="F42" t="inlineStr"/>
      <c r="G42" t="n">
        <v>58</v>
      </c>
      <c r="H42" t="n">
        <v>9</v>
      </c>
      <c r="I42" t="n">
        <v>90</v>
      </c>
      <c r="J42" t="n">
        <v>3</v>
      </c>
      <c r="K42" t="n">
        <v>26</v>
      </c>
      <c r="L42" t="n">
        <v>16</v>
      </c>
      <c r="M42" t="n">
        <v>117</v>
      </c>
      <c r="N42" t="n">
        <v>9</v>
      </c>
    </row>
    <row r="43">
      <c r="A43" t="n">
        <v>42</v>
      </c>
      <c r="B43">
        <f>G43*H43*3+I43*J43*3+K43*L43*3+M43*N43*3</f>
        <v/>
      </c>
      <c r="C43" t="n">
        <v>3376</v>
      </c>
      <c r="D43">
        <f>B43/C43</f>
        <v/>
      </c>
      <c r="E43">
        <f>IF(B43=0,"Нет",IF(AND(D43&gt;=1.3,D43&lt;=2),"Высокий",IF(AND(D43&gt;=0.6,D43&lt;1.3),"Средний","Низкий")))</f>
        <v/>
      </c>
      <c r="F43" t="inlineStr"/>
      <c r="G43" t="n">
        <v>48</v>
      </c>
      <c r="H43" t="n">
        <v>16</v>
      </c>
    </row>
    <row r="44">
      <c r="A44" t="n">
        <v>43</v>
      </c>
      <c r="B44">
        <f>G44*H44*3+I44*J44*3+K44*L44*3+M44*N44*3</f>
        <v/>
      </c>
      <c r="C44" t="n">
        <v>3410</v>
      </c>
      <c r="D44">
        <f>B44/C44</f>
        <v/>
      </c>
      <c r="E44">
        <f>IF(B44=0,"Нет",IF(AND(D44&gt;=1.3,D44&lt;=2),"Высокий",IF(AND(D44&gt;=0.6,D44&lt;1.3),"Средний","Низкий")))</f>
        <v/>
      </c>
      <c r="F44" t="inlineStr"/>
      <c r="G44" t="n">
        <v>74</v>
      </c>
      <c r="H44" t="n">
        <v>14</v>
      </c>
      <c r="I44" t="n">
        <v>57</v>
      </c>
      <c r="J44" t="n">
        <v>1</v>
      </c>
      <c r="K44" t="n">
        <v>8</v>
      </c>
      <c r="L44" t="n">
        <v>9</v>
      </c>
      <c r="M44" t="n">
        <v>28</v>
      </c>
      <c r="N44" t="n">
        <v>9</v>
      </c>
    </row>
    <row r="45">
      <c r="A45" t="n">
        <v>44</v>
      </c>
      <c r="B45">
        <f>G45*H45*3+I45*J45*3+K45*L45*3+M45*N45*3</f>
        <v/>
      </c>
      <c r="C45" t="n">
        <v>1949</v>
      </c>
      <c r="D45">
        <f>B45/C45</f>
        <v/>
      </c>
      <c r="E45">
        <f>IF(B45=0,"Нет",IF(AND(D45&gt;=1.3,D45&lt;=2),"Высокий",IF(AND(D45&gt;=0.6,D45&lt;1.3),"Средний","Низкий")))</f>
        <v/>
      </c>
      <c r="F45" t="inlineStr"/>
      <c r="G45" t="n">
        <v>79</v>
      </c>
      <c r="H45" t="n">
        <v>14</v>
      </c>
    </row>
    <row r="46">
      <c r="A46" t="n">
        <v>45</v>
      </c>
      <c r="B46">
        <f>G46*H46*3+I46*J46*3+K46*L46*3+M46*N46*3</f>
        <v/>
      </c>
      <c r="C46" t="n">
        <v>11712</v>
      </c>
      <c r="D46">
        <f>B46/C46</f>
        <v/>
      </c>
      <c r="E46">
        <f>IF(B46=0,"Нет",IF(AND(D46&gt;=1.3,D46&lt;=2),"Высокий",IF(AND(D46&gt;=0.6,D46&lt;1.3),"Средний","Низкий")))</f>
        <v/>
      </c>
      <c r="F46" t="inlineStr"/>
      <c r="G46" t="n">
        <v>124</v>
      </c>
      <c r="H46" t="n">
        <v>9</v>
      </c>
      <c r="I46" t="n">
        <v>13</v>
      </c>
      <c r="J46" t="n">
        <v>12</v>
      </c>
    </row>
    <row r="47">
      <c r="A47" t="n">
        <v>46</v>
      </c>
      <c r="B47">
        <f>G47*H47*3+I47*J47*3+K47*L47*3+M47*N47*3</f>
        <v/>
      </c>
      <c r="C47" t="n">
        <v>3468</v>
      </c>
      <c r="D47">
        <f>B47/C47</f>
        <v/>
      </c>
      <c r="E47">
        <f>IF(B47=0,"Нет",IF(AND(D47&gt;=1.3,D47&lt;=2),"Высокий",IF(AND(D47&gt;=0.6,D47&lt;1.3),"Средний","Низкий")))</f>
        <v/>
      </c>
      <c r="F47" t="inlineStr"/>
      <c r="G47" t="n">
        <v>81</v>
      </c>
      <c r="H47" t="n">
        <v>12</v>
      </c>
      <c r="I47" t="n">
        <v>9</v>
      </c>
      <c r="J47" t="n">
        <v>1</v>
      </c>
      <c r="K47" t="n">
        <v>40</v>
      </c>
      <c r="L47" t="n">
        <v>3</v>
      </c>
      <c r="M47" t="n">
        <v>34</v>
      </c>
      <c r="N47" t="n">
        <v>9</v>
      </c>
    </row>
    <row r="48">
      <c r="A48" t="n">
        <v>47</v>
      </c>
      <c r="B48">
        <f>G48*H48*3+I48*J48*3+K48*L48*3+M48*N48*3</f>
        <v/>
      </c>
      <c r="C48" t="n">
        <v>1975</v>
      </c>
      <c r="D48">
        <f>B48/C48</f>
        <v/>
      </c>
      <c r="E48">
        <f>IF(B48=0,"Нет",IF(AND(D48&gt;=1.3,D48&lt;=2),"Высокий",IF(AND(D48&gt;=0.6,D48&lt;1.3),"Средний","Низкий")))</f>
        <v/>
      </c>
      <c r="F48" t="inlineStr"/>
      <c r="G48" t="n">
        <v>81</v>
      </c>
      <c r="H48" t="n">
        <v>12</v>
      </c>
    </row>
    <row r="49">
      <c r="A49" t="n">
        <v>48</v>
      </c>
      <c r="B49">
        <f>G49*H49*3+I49*J49*3+K49*L49*3+M49*N49*3</f>
        <v/>
      </c>
      <c r="C49" t="n">
        <v>2107</v>
      </c>
      <c r="D49">
        <f>B49/C49</f>
        <v/>
      </c>
      <c r="E49">
        <f>IF(B49=0,"Нет",IF(AND(D49&gt;=1.3,D49&lt;=2),"Высокий",IF(AND(D49&gt;=0.6,D49&lt;1.3),"Средний","Низкий")))</f>
        <v/>
      </c>
      <c r="F49" t="inlineStr"/>
      <c r="G49" t="n">
        <v>87</v>
      </c>
      <c r="H49" t="n">
        <v>3</v>
      </c>
      <c r="I49" t="n">
        <v>8</v>
      </c>
      <c r="J49" t="n">
        <v>1</v>
      </c>
      <c r="K49" t="n">
        <v>13</v>
      </c>
      <c r="L49" t="n">
        <v>1</v>
      </c>
    </row>
    <row r="50">
      <c r="A50" t="n">
        <v>49</v>
      </c>
      <c r="B50">
        <f>G50*H50*3+I50*J50*3+K50*L50*3+M50*N50*3</f>
        <v/>
      </c>
      <c r="C50" t="n">
        <v>2731</v>
      </c>
      <c r="D50">
        <f>B50/C50</f>
        <v/>
      </c>
      <c r="E50">
        <f>IF(B50=0,"Нет",IF(AND(D50&gt;=1.3,D50&lt;=2),"Высокий",IF(AND(D50&gt;=0.6,D50&lt;1.3),"Средний","Низкий")))</f>
        <v/>
      </c>
      <c r="F50" t="inlineStr"/>
      <c r="G50" t="n">
        <v>42</v>
      </c>
      <c r="H50" t="n">
        <v>3</v>
      </c>
      <c r="I50" t="n">
        <v>23</v>
      </c>
      <c r="J50" t="n">
        <v>16</v>
      </c>
    </row>
    <row r="51">
      <c r="A51" t="n">
        <v>50</v>
      </c>
      <c r="B51">
        <f>G51*H51*3+I51*J51*3+K51*L51*3+M51*N51*3</f>
        <v/>
      </c>
      <c r="C51" t="n">
        <v>4184</v>
      </c>
      <c r="D51">
        <f>B51/C51</f>
        <v/>
      </c>
      <c r="E51">
        <f>IF(B51=0,"Нет",IF(AND(D51&gt;=1.3,D51&lt;=2),"Высокий",IF(AND(D51&gt;=0.6,D51&lt;1.3),"Средний","Низкий")))</f>
        <v/>
      </c>
      <c r="F51" t="inlineStr"/>
      <c r="G51" t="n">
        <v>81</v>
      </c>
      <c r="H51" t="n">
        <v>12</v>
      </c>
      <c r="I51" t="n">
        <v>17</v>
      </c>
      <c r="J51" t="n">
        <v>1</v>
      </c>
      <c r="K51" t="n">
        <v>44</v>
      </c>
      <c r="L51" t="n">
        <v>1</v>
      </c>
    </row>
    <row r="52">
      <c r="A52" t="n">
        <v>51</v>
      </c>
      <c r="B52">
        <f>G52*H52*3+I52*J52*3+K52*L52*3+M52*N52*3</f>
        <v/>
      </c>
      <c r="C52" t="n">
        <v>3139</v>
      </c>
      <c r="D52">
        <f>B52/C52</f>
        <v/>
      </c>
      <c r="E52">
        <f>IF(B52=0,"Нет",IF(AND(D52&gt;=1.3,D52&lt;=2),"Высокий",IF(AND(D52&gt;=0.6,D52&lt;1.3),"Средний","Низкий")))</f>
        <v/>
      </c>
      <c r="F52" t="inlineStr"/>
      <c r="G52" t="n">
        <v>81</v>
      </c>
      <c r="H52" t="n">
        <v>12</v>
      </c>
    </row>
    <row r="53">
      <c r="A53" t="n">
        <v>52</v>
      </c>
      <c r="B53">
        <f>G53*H53*3+I53*J53*3+K53*L53*3+M53*N53*3</f>
        <v/>
      </c>
      <c r="C53" t="n">
        <v>2750</v>
      </c>
      <c r="D53">
        <f>B53/C53</f>
        <v/>
      </c>
      <c r="E53">
        <f>IF(B53=0,"Нет",IF(AND(D53&gt;=1.3,D53&lt;=2),"Высокий",IF(AND(D53&gt;=0.6,D53&lt;1.3),"Средний","Низкий")))</f>
        <v/>
      </c>
      <c r="F53" t="inlineStr"/>
      <c r="G53" t="n">
        <v>14</v>
      </c>
      <c r="H5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t="inlineStr">
        <is>
          <t>Номер яч</t>
        </is>
      </c>
      <c r="B1" t="inlineStr">
        <is>
          <t>размер, м</t>
        </is>
      </c>
      <c r="C1" t="inlineStr">
        <is>
          <t>итог</t>
        </is>
      </c>
      <c r="D1" t="inlineStr">
        <is>
          <t>балл</t>
        </is>
      </c>
    </row>
    <row r="2">
      <c r="A2" t="n">
        <v>1</v>
      </c>
      <c r="B2" t="n">
        <v>174</v>
      </c>
      <c r="C2" t="inlineStr">
        <is>
          <t>Некомфортная</t>
        </is>
      </c>
      <c r="D2">
        <f>IF(C2="Комфортная",1,0)</f>
        <v/>
      </c>
    </row>
    <row r="3">
      <c r="A3" t="n">
        <v>2</v>
      </c>
      <c r="B3" t="n">
        <v>91</v>
      </c>
      <c r="C3" t="inlineStr">
        <is>
          <t>Комфортная</t>
        </is>
      </c>
      <c r="D3">
        <f>IF(C3="Комфортная",1,0)</f>
        <v/>
      </c>
    </row>
    <row r="4">
      <c r="A4" t="n">
        <v>3</v>
      </c>
      <c r="B4" t="n">
        <v>154</v>
      </c>
      <c r="C4" t="inlineStr">
        <is>
          <t>Некомфортная</t>
        </is>
      </c>
      <c r="D4">
        <f>IF(C4="Комфортная",1,0)</f>
        <v/>
      </c>
    </row>
    <row r="5">
      <c r="A5" t="n">
        <v>4</v>
      </c>
      <c r="B5" t="n">
        <v>110</v>
      </c>
      <c r="C5" t="inlineStr">
        <is>
          <t>Комфортная</t>
        </is>
      </c>
      <c r="D5">
        <f>IF(C5="Комфортная",1,0)</f>
        <v/>
      </c>
    </row>
    <row r="6">
      <c r="A6" t="n">
        <v>5</v>
      </c>
      <c r="B6" t="n">
        <v>88</v>
      </c>
      <c r="C6" t="inlineStr">
        <is>
          <t>Комфортная</t>
        </is>
      </c>
      <c r="D6">
        <f>IF(C6="Комфортная",1,0)</f>
        <v/>
      </c>
    </row>
    <row r="7">
      <c r="A7" t="n">
        <v>6</v>
      </c>
      <c r="B7" t="n">
        <v>147</v>
      </c>
      <c r="C7" t="inlineStr">
        <is>
          <t>Некомфортная</t>
        </is>
      </c>
      <c r="D7">
        <f>IF(C7="Комфортная",1,0)</f>
        <v/>
      </c>
    </row>
    <row r="8">
      <c r="A8" t="n">
        <v>7</v>
      </c>
      <c r="B8" t="n">
        <v>139</v>
      </c>
      <c r="C8" t="inlineStr">
        <is>
          <t>Некомфортная</t>
        </is>
      </c>
      <c r="D8">
        <f>IF(C8="Комфортная",1,0)</f>
        <v/>
      </c>
    </row>
    <row r="9">
      <c r="A9" t="n">
        <v>8</v>
      </c>
      <c r="B9" t="n">
        <v>109</v>
      </c>
      <c r="C9" t="inlineStr">
        <is>
          <t>Комфортная</t>
        </is>
      </c>
      <c r="D9">
        <f>IF(C9="Комфортная",1,0)</f>
        <v/>
      </c>
    </row>
    <row r="10">
      <c r="A10" t="n">
        <v>9</v>
      </c>
      <c r="B10" t="n">
        <v>204</v>
      </c>
      <c r="C10" t="inlineStr">
        <is>
          <t>Некомфортная</t>
        </is>
      </c>
      <c r="D10">
        <f>IF(C10="Комфортная",1,0)</f>
        <v/>
      </c>
    </row>
    <row r="11">
      <c r="A11" t="n">
        <v>10</v>
      </c>
      <c r="B11" t="n">
        <v>60</v>
      </c>
      <c r="C11" t="inlineStr">
        <is>
          <t>Комфортная</t>
        </is>
      </c>
      <c r="D11">
        <f>IF(C11="Комфортная",1,0)</f>
        <v/>
      </c>
    </row>
    <row r="12">
      <c r="A12" t="n">
        <v>11</v>
      </c>
      <c r="B12" t="n">
        <v>187</v>
      </c>
      <c r="C12" t="inlineStr">
        <is>
          <t>Некомфортная</t>
        </is>
      </c>
      <c r="D12">
        <f>IF(C12="Комфортная",1,0)</f>
        <v/>
      </c>
    </row>
    <row r="13">
      <c r="A13" t="n">
        <v>12</v>
      </c>
      <c r="B13" t="n">
        <v>118</v>
      </c>
      <c r="C13" t="inlineStr">
        <is>
          <t>Комфортная</t>
        </is>
      </c>
      <c r="D13">
        <f>IF(C13="Комфортная",1,0)</f>
        <v/>
      </c>
    </row>
    <row r="14">
      <c r="A14" t="n">
        <v>13</v>
      </c>
      <c r="B14" t="n">
        <v>123</v>
      </c>
      <c r="C14" t="inlineStr">
        <is>
          <t>Комфортная</t>
        </is>
      </c>
      <c r="D14">
        <f>IF(C14="Комфортная",1,0)</f>
        <v/>
      </c>
    </row>
    <row r="15">
      <c r="A15" t="n">
        <v>14</v>
      </c>
      <c r="B15" t="n">
        <v>145</v>
      </c>
      <c r="C15" t="inlineStr">
        <is>
          <t>Некомфортная</t>
        </is>
      </c>
      <c r="D15">
        <f>IF(C15="Комфортная",1,0)</f>
        <v/>
      </c>
    </row>
    <row r="16">
      <c r="A16" t="n">
        <v>15</v>
      </c>
      <c r="B16" t="n">
        <v>137</v>
      </c>
      <c r="C16" t="inlineStr">
        <is>
          <t>Комфортная</t>
        </is>
      </c>
      <c r="D16">
        <f>IF(C16="Комфортная",1,0)</f>
        <v/>
      </c>
    </row>
    <row r="17">
      <c r="A17" t="n">
        <v>16</v>
      </c>
      <c r="B17" t="n">
        <v>171</v>
      </c>
      <c r="C17" t="inlineStr">
        <is>
          <t>Некомфортная</t>
        </is>
      </c>
      <c r="D17">
        <f>IF(C17="Комфортная",1,0)</f>
        <v/>
      </c>
    </row>
    <row r="18">
      <c r="A18" t="n">
        <v>17</v>
      </c>
      <c r="B18" t="n">
        <v>135</v>
      </c>
      <c r="C18" t="inlineStr">
        <is>
          <t>Комфортная</t>
        </is>
      </c>
      <c r="D18">
        <f>IF(C18="Комфортная",1,0)</f>
        <v/>
      </c>
    </row>
    <row r="19">
      <c r="A19" t="n">
        <v>18</v>
      </c>
      <c r="B19" t="n">
        <v>112</v>
      </c>
      <c r="C19" t="inlineStr">
        <is>
          <t>Комфортная</t>
        </is>
      </c>
      <c r="D19">
        <f>IF(C19="Комфортная",1,0)</f>
        <v/>
      </c>
    </row>
    <row r="20">
      <c r="A20" t="n">
        <v>19</v>
      </c>
      <c r="B20" t="n">
        <v>78</v>
      </c>
      <c r="C20" t="inlineStr">
        <is>
          <t>Комфортная</t>
        </is>
      </c>
      <c r="D20">
        <f>IF(C20="Комфортная",1,0)</f>
        <v/>
      </c>
    </row>
    <row r="21">
      <c r="A21" t="n">
        <v>20</v>
      </c>
      <c r="B21" t="n">
        <v>110</v>
      </c>
      <c r="C21" t="inlineStr">
        <is>
          <t>Комфортная</t>
        </is>
      </c>
      <c r="D21">
        <f>IF(C21="Комфортная",1,0)</f>
        <v/>
      </c>
    </row>
    <row r="22">
      <c r="A22" t="n">
        <v>21</v>
      </c>
      <c r="B22" t="n">
        <v>99</v>
      </c>
      <c r="C22" t="inlineStr">
        <is>
          <t>Комфортная</t>
        </is>
      </c>
      <c r="D22">
        <f>IF(C22="Комфортная",1,0)</f>
        <v/>
      </c>
    </row>
    <row r="23">
      <c r="A23" t="n">
        <v>22</v>
      </c>
      <c r="B23" t="n">
        <v>97</v>
      </c>
      <c r="C23" t="inlineStr">
        <is>
          <t>Комфортная</t>
        </is>
      </c>
      <c r="D23">
        <f>IF(C23="Комфортная",1,0)</f>
        <v/>
      </c>
    </row>
    <row r="24">
      <c r="A24" t="n">
        <v>23</v>
      </c>
      <c r="B24" t="n">
        <v>137</v>
      </c>
      <c r="C24" t="inlineStr">
        <is>
          <t>Комфортная</t>
        </is>
      </c>
      <c r="D24">
        <f>IF(C24="Комфортная",1,0)</f>
        <v/>
      </c>
    </row>
    <row r="25">
      <c r="A25" t="n">
        <v>24</v>
      </c>
      <c r="B25" t="n">
        <v>96</v>
      </c>
      <c r="C25" t="inlineStr">
        <is>
          <t>Комфортная</t>
        </is>
      </c>
      <c r="D25">
        <f>IF(C25="Комфортная",1,0)</f>
        <v/>
      </c>
    </row>
    <row r="26">
      <c r="A26" t="n">
        <v>25</v>
      </c>
      <c r="B26" t="n">
        <v>172</v>
      </c>
      <c r="C26" t="inlineStr">
        <is>
          <t>Некомфортная</t>
        </is>
      </c>
      <c r="D26">
        <f>IF(C26="Комфортная",1,0)</f>
        <v/>
      </c>
    </row>
    <row r="27">
      <c r="A27" t="n">
        <v>26</v>
      </c>
      <c r="B27" t="n">
        <v>96</v>
      </c>
      <c r="C27" t="inlineStr">
        <is>
          <t>Комфортная</t>
        </is>
      </c>
      <c r="D27">
        <f>IF(C27="Комфортная",1,0)</f>
        <v/>
      </c>
    </row>
    <row r="28">
      <c r="A28" t="n">
        <v>27</v>
      </c>
      <c r="B28" t="n">
        <v>130</v>
      </c>
      <c r="C28" t="inlineStr">
        <is>
          <t>Комфортная</t>
        </is>
      </c>
      <c r="D28">
        <f>IF(C28="Комфортная",1,0)</f>
        <v/>
      </c>
    </row>
    <row r="29">
      <c r="A29" t="n">
        <v>28</v>
      </c>
      <c r="B29" t="n">
        <v>131</v>
      </c>
      <c r="C29" t="inlineStr">
        <is>
          <t>Комфортная</t>
        </is>
      </c>
      <c r="D29">
        <f>IF(C29="Комфортная",1,0)</f>
        <v/>
      </c>
    </row>
    <row r="30">
      <c r="A30" t="n">
        <v>29</v>
      </c>
      <c r="B30" t="n">
        <v>139</v>
      </c>
      <c r="C30" t="inlineStr">
        <is>
          <t>Комфортная</t>
        </is>
      </c>
      <c r="D30">
        <f>IF(C30="Комфортная",1,0)</f>
        <v/>
      </c>
    </row>
    <row r="31">
      <c r="A31" t="n">
        <v>30</v>
      </c>
      <c r="B31" t="n">
        <v>133</v>
      </c>
      <c r="C31" t="inlineStr">
        <is>
          <t>Комфортная</t>
        </is>
      </c>
      <c r="D31">
        <f>IF(C31="Комфортная",1,0)</f>
        <v/>
      </c>
    </row>
    <row r="32">
      <c r="A32" t="n">
        <v>31</v>
      </c>
      <c r="B32" t="n">
        <v>99</v>
      </c>
      <c r="C32" t="inlineStr">
        <is>
          <t>Комфортная</t>
        </is>
      </c>
      <c r="D32">
        <f>IF(C32="Комфортная",1,0)</f>
        <v/>
      </c>
    </row>
    <row r="33">
      <c r="A33" t="n">
        <v>32</v>
      </c>
      <c r="B33" t="n">
        <v>142</v>
      </c>
      <c r="C33" t="inlineStr">
        <is>
          <t>Комфортная</t>
        </is>
      </c>
      <c r="D33">
        <f>IF(C33="Комфортная",1,0)</f>
        <v/>
      </c>
    </row>
    <row r="34">
      <c r="A34" t="n">
        <v>33</v>
      </c>
      <c r="B34" t="n">
        <v>139</v>
      </c>
      <c r="C34" t="inlineStr">
        <is>
          <t>Комфортная</t>
        </is>
      </c>
      <c r="D34">
        <f>IF(C34="Комфортная",1,0)</f>
        <v/>
      </c>
    </row>
    <row r="35">
      <c r="A35" t="n">
        <v>34</v>
      </c>
      <c r="B35" t="n">
        <v>181</v>
      </c>
      <c r="C35" t="inlineStr">
        <is>
          <t>Некомфортная</t>
        </is>
      </c>
      <c r="D35">
        <f>IF(C35="Комфортная",1,0)</f>
        <v/>
      </c>
    </row>
    <row r="36">
      <c r="A36" t="n">
        <v>35</v>
      </c>
      <c r="B36" t="n">
        <v>178</v>
      </c>
      <c r="C36" t="inlineStr">
        <is>
          <t>Некомфортная</t>
        </is>
      </c>
      <c r="D36">
        <f>IF(C36="Комфортная",1,0)</f>
        <v/>
      </c>
    </row>
    <row r="37">
      <c r="A37" t="n">
        <v>36</v>
      </c>
      <c r="B37" t="n">
        <v>188</v>
      </c>
      <c r="C37" t="inlineStr">
        <is>
          <t>Некомфортная</t>
        </is>
      </c>
      <c r="D37">
        <f>IF(C37="Комфортная",1,0)</f>
        <v/>
      </c>
    </row>
    <row r="38">
      <c r="A38" t="n">
        <v>37</v>
      </c>
      <c r="B38" t="n">
        <v>105</v>
      </c>
      <c r="C38" t="inlineStr">
        <is>
          <t>Комфортная</t>
        </is>
      </c>
      <c r="D38">
        <f>IF(C38="Комфортная",1,0)</f>
        <v/>
      </c>
    </row>
    <row r="39">
      <c r="A39" t="n">
        <v>38</v>
      </c>
      <c r="B39" t="n">
        <v>131</v>
      </c>
      <c r="C39" t="inlineStr">
        <is>
          <t>Комфортная</t>
        </is>
      </c>
      <c r="D39">
        <f>IF(C39="Комфортная",1,0)</f>
        <v/>
      </c>
    </row>
    <row r="40">
      <c r="A40" t="n">
        <v>39</v>
      </c>
      <c r="B40" t="n">
        <v>186</v>
      </c>
      <c r="C40" t="inlineStr">
        <is>
          <t>Некомфортная</t>
        </is>
      </c>
      <c r="D40">
        <f>IF(C40="Комфортная",1,0)</f>
        <v/>
      </c>
    </row>
    <row r="41">
      <c r="A41" t="n">
        <v>40</v>
      </c>
      <c r="B41" t="n">
        <v>215</v>
      </c>
      <c r="C41" t="inlineStr">
        <is>
          <t>Некомфортная</t>
        </is>
      </c>
      <c r="D41">
        <f>IF(C41="Комфортная",1,0)</f>
        <v/>
      </c>
    </row>
    <row r="42">
      <c r="A42" t="n">
        <v>41</v>
      </c>
      <c r="B42" t="n">
        <v>156</v>
      </c>
      <c r="C42" t="inlineStr">
        <is>
          <t>Некомфортная</t>
        </is>
      </c>
      <c r="D42">
        <f>IF(C42="Комфортная",1,0)</f>
        <v/>
      </c>
    </row>
    <row r="43">
      <c r="A43" t="n">
        <v>42</v>
      </c>
      <c r="B43" t="n">
        <v>126</v>
      </c>
      <c r="C43" t="inlineStr">
        <is>
          <t>Комфортная</t>
        </is>
      </c>
      <c r="D43">
        <f>IF(C43="Комфортная",1,0)</f>
        <v/>
      </c>
    </row>
    <row r="44">
      <c r="A44" t="n">
        <v>43</v>
      </c>
      <c r="B44" t="n">
        <v>90</v>
      </c>
      <c r="C44" t="inlineStr">
        <is>
          <t>Комфортная</t>
        </is>
      </c>
      <c r="D44">
        <f>IF(C44="Комфортная",1,0)</f>
        <v/>
      </c>
    </row>
    <row r="45">
      <c r="A45" t="n">
        <v>44</v>
      </c>
      <c r="B45" t="n">
        <v>80</v>
      </c>
      <c r="C45" t="inlineStr">
        <is>
          <t>Комфортная</t>
        </is>
      </c>
      <c r="D45">
        <f>IF(C45="Комфортная",1,0)</f>
        <v/>
      </c>
    </row>
    <row r="46">
      <c r="A46" t="n">
        <v>45</v>
      </c>
      <c r="B46" t="n">
        <v>156</v>
      </c>
      <c r="C46" t="inlineStr">
        <is>
          <t>Некомфортная</t>
        </is>
      </c>
      <c r="D46">
        <f>IF(C46="Комфортная",1,0)</f>
        <v/>
      </c>
    </row>
    <row r="47">
      <c r="A47" t="n">
        <v>46</v>
      </c>
      <c r="B47" t="n">
        <v>97</v>
      </c>
      <c r="C47" t="inlineStr">
        <is>
          <t>Комфортная</t>
        </is>
      </c>
      <c r="D47">
        <f>IF(C47="Комфортная",1,0)</f>
        <v/>
      </c>
    </row>
    <row r="48">
      <c r="A48" t="n">
        <v>47</v>
      </c>
      <c r="B48" t="n">
        <v>82</v>
      </c>
      <c r="C48" t="inlineStr">
        <is>
          <t>Комфортная</t>
        </is>
      </c>
      <c r="D48">
        <f>IF(C48="Комфортная",1,0)</f>
        <v/>
      </c>
    </row>
    <row r="49">
      <c r="A49" t="n">
        <v>48</v>
      </c>
      <c r="B49" t="n">
        <v>83</v>
      </c>
      <c r="C49" t="inlineStr">
        <is>
          <t>Комфортная</t>
        </is>
      </c>
      <c r="D49">
        <f>IF(C49="Комфортная",1,0)</f>
        <v/>
      </c>
    </row>
    <row r="50">
      <c r="A50" t="n">
        <v>49</v>
      </c>
      <c r="B50" t="n">
        <v>73</v>
      </c>
      <c r="C50" t="inlineStr">
        <is>
          <t>Комфортная</t>
        </is>
      </c>
      <c r="D50">
        <f>IF(C50="Комфортная",1,0)</f>
        <v/>
      </c>
    </row>
    <row r="51">
      <c r="A51" t="n">
        <v>50</v>
      </c>
      <c r="B51" t="n">
        <v>115</v>
      </c>
      <c r="C51" t="inlineStr">
        <is>
          <t>Комфортная</t>
        </is>
      </c>
      <c r="D51">
        <f>IF(C51="Комфортная",1,0)</f>
        <v/>
      </c>
    </row>
    <row r="52">
      <c r="A52" t="n">
        <v>51</v>
      </c>
      <c r="B52" t="n">
        <v>102</v>
      </c>
      <c r="C52" t="inlineStr">
        <is>
          <t>Комфортная</t>
        </is>
      </c>
      <c r="D52">
        <f>IF(C52="Комфортная",1,0)</f>
        <v/>
      </c>
    </row>
    <row r="53">
      <c r="A53" t="n">
        <v>52</v>
      </c>
      <c r="B53" t="n">
        <v>91</v>
      </c>
      <c r="C53" t="inlineStr">
        <is>
          <t>Комфортная</t>
        </is>
      </c>
      <c r="D53">
        <f>IF(C53="Комфортная",1,0)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t="inlineStr">
        <is>
          <t>Номер яч</t>
        </is>
      </c>
      <c r="B1" t="inlineStr">
        <is>
          <t>длина фасадов</t>
        </is>
      </c>
      <c r="C1" t="inlineStr">
        <is>
          <t>Периметр ячеек</t>
        </is>
      </c>
      <c r="D1" t="inlineStr">
        <is>
          <t>коэф</t>
        </is>
      </c>
      <c r="E1" t="inlineStr">
        <is>
          <t>итог</t>
        </is>
      </c>
      <c r="F1" t="inlineStr">
        <is>
          <t>Комментарии</t>
        </is>
      </c>
    </row>
    <row r="2">
      <c r="A2" t="n">
        <v>1</v>
      </c>
      <c r="B2" t="n">
        <v>167</v>
      </c>
      <c r="C2" t="n">
        <v>383</v>
      </c>
      <c r="D2">
        <f>B2/C2</f>
        <v/>
      </c>
      <c r="E2">
        <f>IF(D2&gt;=0.65,"Высокий",IF(D2&lt;=0.35,"Низкий","Средний"))</f>
        <v/>
      </c>
      <c r="F2" t="inlineStr">
        <is>
          <t xml:space="preserve">длина забора </t>
        </is>
      </c>
    </row>
    <row r="3">
      <c r="A3" t="n">
        <v>2</v>
      </c>
      <c r="B3" t="n">
        <v>80</v>
      </c>
      <c r="C3" t="n">
        <v>234</v>
      </c>
      <c r="D3">
        <f>B3/C3</f>
        <v/>
      </c>
      <c r="E3">
        <f>IF(D3&gt;=0.65,"Высокий",IF(D3&lt;=0.35,"Низкий","Средний"))</f>
        <v/>
      </c>
    </row>
    <row r="4">
      <c r="A4" t="n">
        <v>3</v>
      </c>
      <c r="B4" t="n">
        <v>167</v>
      </c>
      <c r="C4" t="n">
        <v>372</v>
      </c>
      <c r="D4">
        <f>B4/C4</f>
        <v/>
      </c>
      <c r="E4">
        <f>IF(D4&gt;=0.65,"Высокий",IF(D4&lt;=0.35,"Низкий","Средний"))</f>
        <v/>
      </c>
      <c r="F4" t="inlineStr">
        <is>
          <t xml:space="preserve">длина забора </t>
        </is>
      </c>
    </row>
    <row r="5">
      <c r="A5" t="n">
        <v>4</v>
      </c>
      <c r="B5" t="n">
        <v>234</v>
      </c>
      <c r="C5" t="n">
        <v>351</v>
      </c>
      <c r="D5">
        <f>B5/C5</f>
        <v/>
      </c>
      <c r="E5">
        <f>IF(D5&gt;=0.65,"Высокий",IF(D5&lt;=0.35,"Низкий","Средний"))</f>
        <v/>
      </c>
    </row>
    <row r="6">
      <c r="A6" t="n">
        <v>5</v>
      </c>
      <c r="B6" t="n">
        <v>193</v>
      </c>
      <c r="C6" t="n">
        <v>280</v>
      </c>
      <c r="D6">
        <f>B6/C6</f>
        <v/>
      </c>
      <c r="E6">
        <f>IF(D6&gt;=0.65,"Высокий",IF(D6&lt;=0.35,"Низкий","Средний"))</f>
        <v/>
      </c>
    </row>
    <row r="7">
      <c r="A7" t="n">
        <v>6</v>
      </c>
      <c r="B7" t="n">
        <v>137</v>
      </c>
      <c r="C7" t="n">
        <v>361</v>
      </c>
      <c r="D7">
        <f>B7/C7</f>
        <v/>
      </c>
      <c r="E7">
        <f>IF(D7&gt;=0.65,"Высокий",IF(D7&lt;=0.35,"Низкий","Средний"))</f>
        <v/>
      </c>
    </row>
    <row r="8">
      <c r="A8" t="n">
        <v>7</v>
      </c>
      <c r="B8" t="n">
        <v>135</v>
      </c>
      <c r="C8" t="n">
        <v>382</v>
      </c>
      <c r="D8">
        <f>B8/C8</f>
        <v/>
      </c>
      <c r="E8">
        <f>IF(D8&gt;=0.65,"Высокий",IF(D8&lt;=0.35,"Низкий","Средний"))</f>
        <v/>
      </c>
    </row>
    <row r="9">
      <c r="A9" t="n">
        <v>8</v>
      </c>
      <c r="B9" t="n">
        <v>156</v>
      </c>
      <c r="C9" t="n">
        <v>286</v>
      </c>
      <c r="D9">
        <f>B9/C9</f>
        <v/>
      </c>
      <c r="E9">
        <f>IF(D9&gt;=0.65,"Высокий",IF(D9&lt;=0.35,"Низкий","Средний"))</f>
        <v/>
      </c>
      <c r="F9" t="inlineStr">
        <is>
          <t>было 81 м; исправлено по сумме длин из листа вертикальных пропорций</t>
        </is>
      </c>
    </row>
    <row r="10">
      <c r="A10" t="n">
        <v>9</v>
      </c>
      <c r="B10" t="n">
        <v>166</v>
      </c>
      <c r="C10" t="n">
        <v>548</v>
      </c>
      <c r="D10">
        <f>B10/C10</f>
        <v/>
      </c>
      <c r="E10">
        <f>IF(D10&gt;=0.65,"Высокий",IF(D10&lt;=0.35,"Низкий","Средний"))</f>
        <v/>
      </c>
    </row>
    <row r="11">
      <c r="A11" t="n">
        <v>10</v>
      </c>
      <c r="B11" t="n">
        <v>68</v>
      </c>
      <c r="C11" t="n">
        <v>190</v>
      </c>
      <c r="D11">
        <f>B11/C11</f>
        <v/>
      </c>
      <c r="E11">
        <f>IF(D11&gt;=0.65,"Высокий",IF(D11&lt;=0.35,"Низкий","Средний"))</f>
        <v/>
      </c>
    </row>
    <row r="12">
      <c r="A12" t="n">
        <v>11</v>
      </c>
      <c r="B12" t="n">
        <v>319</v>
      </c>
      <c r="C12" t="n">
        <v>536</v>
      </c>
      <c r="D12">
        <f>B12/C12</f>
        <v/>
      </c>
      <c r="E12">
        <f>IF(D12&gt;=0.65,"Высокий",IF(D12&lt;=0.35,"Низкий","Средний"))</f>
        <v/>
      </c>
    </row>
    <row r="13">
      <c r="A13" t="n">
        <v>12</v>
      </c>
      <c r="B13" t="n">
        <v>12</v>
      </c>
      <c r="C13" t="n">
        <v>312</v>
      </c>
      <c r="D13">
        <f>B13/C13</f>
        <v/>
      </c>
      <c r="E13">
        <f>IF(D13&gt;=0.65,"Высокий",IF(D13&lt;=0.35,"Низкий","Средний"))</f>
        <v/>
      </c>
    </row>
    <row r="14">
      <c r="A14" t="n">
        <v>13</v>
      </c>
      <c r="B14" t="n">
        <v>127</v>
      </c>
      <c r="C14" t="n">
        <v>294</v>
      </c>
      <c r="D14">
        <f>B14/C14</f>
        <v/>
      </c>
      <c r="E14">
        <f>IF(D14&gt;=0.65,"Высокий",IF(D14&lt;=0.35,"Низкий","Средний"))</f>
        <v/>
      </c>
    </row>
    <row r="15">
      <c r="A15" t="n">
        <v>14</v>
      </c>
      <c r="B15" t="n">
        <v>148</v>
      </c>
      <c r="C15" t="n">
        <v>416</v>
      </c>
      <c r="D15">
        <f>B15/C15</f>
        <v/>
      </c>
      <c r="E15">
        <f>IF(D15&gt;=0.65,"Высокий",IF(D15&lt;=0.35,"Низкий","Средний"))</f>
        <v/>
      </c>
    </row>
    <row r="16">
      <c r="A16" t="n">
        <v>15</v>
      </c>
      <c r="B16" t="n">
        <v>112</v>
      </c>
      <c r="C16" t="n">
        <v>333</v>
      </c>
      <c r="D16">
        <f>B16/C16</f>
        <v/>
      </c>
      <c r="E16">
        <f>IF(D16&gt;=0.65,"Высокий",IF(D16&lt;=0.35,"Низкий","Средний"))</f>
        <v/>
      </c>
    </row>
    <row r="17">
      <c r="A17" t="n">
        <v>16</v>
      </c>
      <c r="B17" t="n">
        <v>319</v>
      </c>
      <c r="C17" t="n">
        <v>489</v>
      </c>
      <c r="D17">
        <f>B17/C17</f>
        <v/>
      </c>
      <c r="E17">
        <f>IF(D17&gt;=0.65,"Высокий",IF(D17&lt;=0.35,"Низкий","Средний"))</f>
        <v/>
      </c>
    </row>
    <row r="18">
      <c r="A18" t="n">
        <v>17</v>
      </c>
      <c r="B18" t="n">
        <v>137</v>
      </c>
      <c r="C18" t="n">
        <v>381</v>
      </c>
      <c r="D18">
        <f>B18/C18</f>
        <v/>
      </c>
      <c r="E18">
        <f>IF(D18&gt;=0.65,"Высокий",IF(D18&lt;=0.35,"Низкий","Средний"))</f>
        <v/>
      </c>
    </row>
    <row r="19">
      <c r="A19" t="n">
        <v>18</v>
      </c>
      <c r="B19" t="n">
        <v>112</v>
      </c>
      <c r="C19" t="n">
        <v>258</v>
      </c>
      <c r="D19">
        <f>B19/C19</f>
        <v/>
      </c>
      <c r="E19">
        <f>IF(D19&gt;=0.65,"Высокий",IF(D19&lt;=0.35,"Низкий","Средний"))</f>
        <v/>
      </c>
    </row>
    <row r="20">
      <c r="A20" t="n">
        <v>19</v>
      </c>
      <c r="B20" t="n">
        <v>62</v>
      </c>
      <c r="C20" t="n">
        <v>196</v>
      </c>
      <c r="D20">
        <f>B20/C20</f>
        <v/>
      </c>
      <c r="E20">
        <f>IF(D20&gt;=0.65,"Высокий",IF(D20&lt;=0.35,"Низкий","Средний"))</f>
        <v/>
      </c>
    </row>
    <row r="21">
      <c r="A21" t="n">
        <v>20</v>
      </c>
      <c r="B21" t="n">
        <v>105</v>
      </c>
      <c r="C21" t="n">
        <v>301</v>
      </c>
      <c r="D21">
        <f>B21/C21</f>
        <v/>
      </c>
      <c r="E21">
        <f>IF(D21&gt;=0.65,"Высокий",IF(D21&lt;=0.35,"Низкий","Средний"))</f>
        <v/>
      </c>
    </row>
    <row r="22">
      <c r="A22" t="n">
        <v>21</v>
      </c>
      <c r="B22" t="n">
        <v>59</v>
      </c>
      <c r="C22" t="n">
        <v>257</v>
      </c>
      <c r="D22">
        <f>B22/C22</f>
        <v/>
      </c>
      <c r="E22">
        <f>IF(D22&gt;=0.65,"Высокий",IF(D22&lt;=0.35,"Низкий","Средний"))</f>
        <v/>
      </c>
    </row>
    <row r="23">
      <c r="A23" t="n">
        <v>22</v>
      </c>
      <c r="B23" t="n">
        <v>104</v>
      </c>
      <c r="C23" t="n">
        <v>244</v>
      </c>
      <c r="D23">
        <f>B23/C23</f>
        <v/>
      </c>
      <c r="E23">
        <f>IF(D23&gt;=0.65,"Высокий",IF(D23&lt;=0.35,"Низкий","Средний"))</f>
        <v/>
      </c>
    </row>
    <row r="24">
      <c r="A24" t="n">
        <v>23</v>
      </c>
      <c r="B24" t="n">
        <v>194</v>
      </c>
      <c r="C24" t="n">
        <v>386</v>
      </c>
      <c r="D24">
        <f>B24/C24</f>
        <v/>
      </c>
      <c r="E24">
        <f>IF(D24&gt;=0.65,"Высокий",IF(D24&lt;=0.35,"Низкий","Средний"))</f>
        <v/>
      </c>
    </row>
    <row r="25">
      <c r="A25" t="n">
        <v>24</v>
      </c>
      <c r="B25" t="n">
        <v>126</v>
      </c>
      <c r="C25" t="n">
        <v>276</v>
      </c>
      <c r="D25">
        <f>B25/C25</f>
        <v/>
      </c>
      <c r="E25">
        <f>IF(D25&gt;=0.65,"Высокий",IF(D25&lt;=0.35,"Низкий","Средний"))</f>
        <v/>
      </c>
    </row>
    <row r="26">
      <c r="A26" t="n">
        <v>25</v>
      </c>
      <c r="B26" t="n">
        <v>52</v>
      </c>
      <c r="C26" t="n">
        <v>495</v>
      </c>
      <c r="D26">
        <f>B26/C26</f>
        <v/>
      </c>
      <c r="E26">
        <f>IF(D26&gt;=0.65,"Высокий",IF(D26&lt;=0.35,"Низкий","Средний"))</f>
        <v/>
      </c>
    </row>
    <row r="27">
      <c r="A27" t="n">
        <v>26</v>
      </c>
      <c r="B27" t="n">
        <v>98</v>
      </c>
      <c r="C27" t="n">
        <v>296</v>
      </c>
      <c r="D27">
        <f>B27/C27</f>
        <v/>
      </c>
      <c r="E27">
        <f>IF(D27&gt;=0.65,"Высокий",IF(D27&lt;=0.35,"Низкий","Средний"))</f>
        <v/>
      </c>
    </row>
    <row r="28">
      <c r="A28" t="n">
        <v>27</v>
      </c>
      <c r="B28" t="n">
        <v>128</v>
      </c>
      <c r="C28" t="n">
        <v>384</v>
      </c>
      <c r="D28">
        <f>B28/C28</f>
        <v/>
      </c>
      <c r="E28">
        <f>IF(D28&gt;=0.65,"Высокий",IF(D28&lt;=0.35,"Низкий","Средний"))</f>
        <v/>
      </c>
    </row>
    <row r="29">
      <c r="A29" t="n">
        <v>28</v>
      </c>
      <c r="B29" t="n">
        <v>156</v>
      </c>
      <c r="C29" t="n">
        <v>399</v>
      </c>
      <c r="D29">
        <f>B29/C29</f>
        <v/>
      </c>
      <c r="E29">
        <f>IF(D29&gt;=0.65,"Высокий",IF(D29&lt;=0.35,"Низкий","Средний"))</f>
        <v/>
      </c>
    </row>
    <row r="30">
      <c r="A30" t="n">
        <v>29</v>
      </c>
      <c r="B30" t="n">
        <v>97</v>
      </c>
      <c r="C30" t="n">
        <v>349</v>
      </c>
      <c r="D30">
        <f>B30/C30</f>
        <v/>
      </c>
      <c r="E30">
        <f>IF(D30&gt;=0.65,"Высокий",IF(D30&lt;=0.35,"Низкий","Средний"))</f>
        <v/>
      </c>
    </row>
    <row r="31">
      <c r="A31" t="n">
        <v>30</v>
      </c>
      <c r="B31" t="n">
        <v>150</v>
      </c>
      <c r="C31" t="n">
        <v>379</v>
      </c>
      <c r="D31">
        <f>B31/C31</f>
        <v/>
      </c>
      <c r="E31">
        <f>IF(D31&gt;=0.65,"Высокий",IF(D31&lt;=0.35,"Низкий","Средний"))</f>
        <v/>
      </c>
    </row>
    <row r="32">
      <c r="A32" t="n">
        <v>31</v>
      </c>
      <c r="B32" t="n">
        <v>106</v>
      </c>
      <c r="C32" t="n">
        <v>286</v>
      </c>
      <c r="D32">
        <f>B32/C32</f>
        <v/>
      </c>
      <c r="E32">
        <f>IF(D32&gt;=0.65,"Высокий",IF(D32&lt;=0.35,"Низкий","Средний"))</f>
        <v/>
      </c>
    </row>
    <row r="33">
      <c r="A33" t="n">
        <v>32</v>
      </c>
      <c r="B33" t="n">
        <v>146</v>
      </c>
      <c r="C33" t="n">
        <v>404</v>
      </c>
      <c r="D33">
        <f>B33/C33</f>
        <v/>
      </c>
      <c r="E33">
        <f>IF(D33&gt;=0.65,"Высокий",IF(D33&lt;=0.35,"Низкий","Средний"))</f>
        <v/>
      </c>
    </row>
    <row r="34">
      <c r="A34" t="n">
        <v>33</v>
      </c>
      <c r="B34" t="n">
        <v>145</v>
      </c>
      <c r="C34" t="n">
        <v>345</v>
      </c>
      <c r="D34">
        <f>B34/C34</f>
        <v/>
      </c>
      <c r="E34">
        <f>IF(D34&gt;=0.65,"Высокий",IF(D34&lt;=0.35,"Низкий","Средний"))</f>
        <v/>
      </c>
    </row>
    <row r="35">
      <c r="A35" t="n">
        <v>34</v>
      </c>
      <c r="B35" t="n">
        <v>167</v>
      </c>
      <c r="C35" t="n">
        <v>554</v>
      </c>
      <c r="D35">
        <f>B35/C35</f>
        <v/>
      </c>
      <c r="E35">
        <f>IF(D35&gt;=0.65,"Высокий",IF(D35&lt;=0.35,"Низкий","Средний"))</f>
        <v/>
      </c>
    </row>
    <row r="36">
      <c r="A36" t="n">
        <v>35</v>
      </c>
      <c r="B36" t="n">
        <v>312</v>
      </c>
      <c r="C36" t="n">
        <v>538</v>
      </c>
      <c r="D36">
        <f>B36/C36</f>
        <v/>
      </c>
      <c r="E36">
        <f>IF(D36&gt;=0.65,"Высокий",IF(D36&lt;=0.35,"Низкий","Средний"))</f>
        <v/>
      </c>
    </row>
    <row r="37">
      <c r="A37" t="n">
        <v>36</v>
      </c>
      <c r="B37" t="n">
        <v>328</v>
      </c>
      <c r="C37" t="n">
        <v>539</v>
      </c>
      <c r="D37">
        <f>B37/C37</f>
        <v/>
      </c>
      <c r="E37">
        <f>IF(D37&gt;=0.65,"Высокий",IF(D37&lt;=0.35,"Низкий","Средний"))</f>
        <v/>
      </c>
    </row>
    <row r="38">
      <c r="A38" t="n">
        <v>37</v>
      </c>
      <c r="B38" t="n">
        <v>126</v>
      </c>
      <c r="C38" t="n">
        <v>289</v>
      </c>
      <c r="D38">
        <f>B38/C38</f>
        <v/>
      </c>
      <c r="E38">
        <f>IF(D38&gt;=0.65,"Высокий",IF(D38&lt;=0.35,"Низкий","Средний"))</f>
        <v/>
      </c>
    </row>
    <row r="39">
      <c r="A39" t="n">
        <v>38</v>
      </c>
      <c r="B39" t="n">
        <v>113</v>
      </c>
      <c r="C39" t="n">
        <v>339</v>
      </c>
      <c r="D39">
        <f>B39/C39</f>
        <v/>
      </c>
      <c r="E39">
        <f>IF(D39&gt;=0.65,"Высокий",IF(D39&lt;=0.35,"Низкий","Средний"))</f>
        <v/>
      </c>
    </row>
    <row r="40">
      <c r="A40" t="n">
        <v>39</v>
      </c>
      <c r="B40" t="n">
        <v>139</v>
      </c>
      <c r="C40" t="n">
        <v>441</v>
      </c>
      <c r="D40">
        <f>B40/C40</f>
        <v/>
      </c>
      <c r="E40">
        <f>IF(D40&gt;=0.65,"Высокий",IF(D40&lt;=0.35,"Низкий","Средний"))</f>
        <v/>
      </c>
    </row>
    <row r="41">
      <c r="A41" t="n">
        <v>40</v>
      </c>
      <c r="B41" t="n">
        <v>421</v>
      </c>
      <c r="C41" t="n">
        <v>605</v>
      </c>
      <c r="D41">
        <f>B41/C41</f>
        <v/>
      </c>
      <c r="E41">
        <f>IF(D41&gt;=0.65,"Высокий",IF(D41&lt;=0.35,"Низкий","Средний"))</f>
        <v/>
      </c>
    </row>
    <row r="42">
      <c r="A42" t="n">
        <v>41</v>
      </c>
      <c r="B42" t="n">
        <v>303</v>
      </c>
      <c r="C42" t="n">
        <v>436</v>
      </c>
      <c r="D42">
        <f>B42/C42</f>
        <v/>
      </c>
      <c r="E42">
        <f>IF(D42&gt;=0.65,"Высокий",IF(D42&lt;=0.35,"Низкий","Средний"))</f>
        <v/>
      </c>
    </row>
    <row r="43">
      <c r="A43" t="n">
        <v>42</v>
      </c>
      <c r="B43" t="n">
        <v>74</v>
      </c>
      <c r="C43" t="n">
        <v>337</v>
      </c>
      <c r="D43">
        <f>B43/C43</f>
        <v/>
      </c>
      <c r="E43">
        <f>IF(D43&gt;=0.65,"Высокий",IF(D43&lt;=0.35,"Низкий","Средний"))</f>
        <v/>
      </c>
    </row>
    <row r="44">
      <c r="A44" t="n">
        <v>43</v>
      </c>
      <c r="B44" t="n">
        <v>170</v>
      </c>
      <c r="C44" t="n">
        <v>300</v>
      </c>
      <c r="D44">
        <f>B44/C44</f>
        <v/>
      </c>
      <c r="E44">
        <f>IF(D44&gt;=0.65,"Высокий",IF(D44&lt;=0.35,"Низкий","Средний"))</f>
        <v/>
      </c>
    </row>
    <row r="45">
      <c r="A45" t="n">
        <v>44</v>
      </c>
      <c r="B45" t="n">
        <v>75</v>
      </c>
      <c r="C45" t="n">
        <v>211</v>
      </c>
      <c r="D45">
        <f>B45/C45</f>
        <v/>
      </c>
      <c r="E45">
        <f>IF(D45&gt;=0.65,"Высокий",IF(D45&lt;=0.35,"Низкий","Средний"))</f>
        <v/>
      </c>
    </row>
    <row r="46">
      <c r="A46" t="n">
        <v>45</v>
      </c>
      <c r="B46" t="n">
        <v>154</v>
      </c>
      <c r="C46" t="n">
        <v>437</v>
      </c>
      <c r="D46">
        <f>B46/C46</f>
        <v/>
      </c>
      <c r="E46">
        <f>IF(D46&gt;=0.65,"Высокий",IF(D46&lt;=0.35,"Низкий","Средний"))</f>
        <v/>
      </c>
    </row>
    <row r="47">
      <c r="A47" t="n">
        <v>46</v>
      </c>
      <c r="B47" t="n">
        <v>117</v>
      </c>
      <c r="C47" t="n">
        <v>253</v>
      </c>
      <c r="D47">
        <f>B47/C47</f>
        <v/>
      </c>
      <c r="E47">
        <f>IF(D47&gt;=0.65,"Высокий",IF(D47&lt;=0.35,"Низкий","Средний"))</f>
        <v/>
      </c>
    </row>
    <row r="48">
      <c r="A48" t="n">
        <v>47</v>
      </c>
      <c r="B48" t="n">
        <v>84</v>
      </c>
      <c r="C48" t="n">
        <v>217</v>
      </c>
      <c r="D48">
        <f>B48/C48</f>
        <v/>
      </c>
      <c r="E48">
        <f>IF(D48&gt;=0.65,"Высокий",IF(D48&lt;=0.35,"Низкий","Средний"))</f>
        <v/>
      </c>
    </row>
    <row r="49">
      <c r="A49" t="n">
        <v>48</v>
      </c>
      <c r="B49" t="n">
        <v>83</v>
      </c>
      <c r="C49" t="n">
        <v>215</v>
      </c>
      <c r="D49">
        <f>B49/C49</f>
        <v/>
      </c>
      <c r="E49">
        <f>IF(D49&gt;=0.65,"Высокий",IF(D49&lt;=0.35,"Низкий","Средний"))</f>
        <v/>
      </c>
    </row>
    <row r="50">
      <c r="A50" t="n">
        <v>49</v>
      </c>
      <c r="B50" t="n">
        <v>78</v>
      </c>
      <c r="C50" t="n">
        <v>218</v>
      </c>
      <c r="D50">
        <f>B50/C50</f>
        <v/>
      </c>
      <c r="E50">
        <f>IF(D50&gt;=0.65,"Высокий",IF(D50&lt;=0.35,"Низкий","Средний"))</f>
        <v/>
      </c>
    </row>
    <row r="51">
      <c r="A51" t="n">
        <v>50</v>
      </c>
      <c r="B51" t="n">
        <v>142</v>
      </c>
      <c r="C51" t="n">
        <v>361</v>
      </c>
      <c r="D51">
        <f>B51/C51</f>
        <v/>
      </c>
      <c r="E51">
        <f>IF(D51&gt;=0.65,"Высокий",IF(D51&lt;=0.35,"Низкий","Средний"))</f>
        <v/>
      </c>
      <c r="F51" t="inlineStr">
        <is>
          <t>было 96 м; исправлено по сумме длин из листа вертикальных пропорций</t>
        </is>
      </c>
    </row>
    <row r="52">
      <c r="A52" t="n">
        <v>51</v>
      </c>
      <c r="B52" t="n">
        <v>96</v>
      </c>
      <c r="C52" t="n">
        <v>269</v>
      </c>
      <c r="D52">
        <f>B52/C52</f>
        <v/>
      </c>
      <c r="E52">
        <f>IF(D52&gt;=0.65,"Высокий",IF(D52&lt;=0.35,"Низкий","Средний"))</f>
        <v/>
      </c>
    </row>
    <row r="53">
      <c r="A53" t="n">
        <v>52</v>
      </c>
      <c r="B53" t="n">
        <v>12</v>
      </c>
      <c r="C53" t="n">
        <v>221</v>
      </c>
      <c r="D53">
        <f>B53/C53</f>
        <v/>
      </c>
      <c r="E53">
        <f>IF(D53&gt;=0.65,"Высокий",IF(D53&lt;=0.35,"Низкий","Средний"))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t="inlineStr">
        <is>
          <t>Номер яч</t>
        </is>
      </c>
      <c r="B1" t="inlineStr">
        <is>
          <t>Верт. пропорции</t>
        </is>
      </c>
      <c r="C1" t="inlineStr">
        <is>
          <t>План. размеры</t>
        </is>
      </c>
      <c r="D1" t="inlineStr">
        <is>
          <t>Степень замкнутости</t>
        </is>
      </c>
      <c r="E1" t="inlineStr">
        <is>
          <t>балл верт.</t>
        </is>
      </c>
      <c r="F1" t="inlineStr">
        <is>
          <t>балл план.</t>
        </is>
      </c>
      <c r="G1" t="inlineStr">
        <is>
          <t>балл замкн.</t>
        </is>
      </c>
      <c r="H1" t="inlineStr">
        <is>
          <t>Среднее</t>
        </is>
      </c>
      <c r="I1" t="inlineStr">
        <is>
          <t>итог</t>
        </is>
      </c>
      <c r="J1" t="inlineStr"/>
      <c r="K1" t="inlineStr">
        <is>
          <t>порог</t>
        </is>
      </c>
      <c r="L1" t="n">
        <v>0.67</v>
      </c>
    </row>
    <row r="2">
      <c r="A2" t="n">
        <v>1</v>
      </c>
      <c r="B2">
        <f>'Вертикальные пропорции'!E2</f>
        <v/>
      </c>
      <c r="C2">
        <f>'Планировочные размеры'!C2</f>
        <v/>
      </c>
      <c r="D2">
        <f>'Степень замкнутости'!E2</f>
        <v/>
      </c>
      <c r="E2">
        <f>IF(B2="Высокий",1,IF(B2="Средний",0.5,0))</f>
        <v/>
      </c>
      <c r="F2">
        <f>IF(C2="Комфортная",1,0)</f>
        <v/>
      </c>
      <c r="G2">
        <f>IF(D2="Высокий",1,IF(D2="Средний",0.5,0))</f>
        <v/>
      </c>
      <c r="H2">
        <f>AVERAGE(E2:G2)</f>
        <v/>
      </c>
      <c r="I2">
        <f>IF(ROUND(H2,2)&gt;=$L$1,"Комфортная","Некомфортная")</f>
        <v/>
      </c>
    </row>
    <row r="3">
      <c r="A3" t="n">
        <v>2</v>
      </c>
      <c r="B3">
        <f>'Вертикальные пропорции'!E3</f>
        <v/>
      </c>
      <c r="C3">
        <f>'Планировочные размеры'!C3</f>
        <v/>
      </c>
      <c r="D3">
        <f>'Степень замкнутости'!E3</f>
        <v/>
      </c>
      <c r="E3">
        <f>IF(B3="Высокий",1,IF(B3="Средний",0.5,0))</f>
        <v/>
      </c>
      <c r="F3">
        <f>IF(C3="Комфортная",1,0)</f>
        <v/>
      </c>
      <c r="G3">
        <f>IF(D3="Высокий",1,IF(D3="Средний",0.5,0))</f>
        <v/>
      </c>
      <c r="H3">
        <f>AVERAGE(E3:G3)</f>
        <v/>
      </c>
      <c r="I3">
        <f>IF(ROUND(H3,2)&gt;=$L$1,"Комфортная","Некомфортная")</f>
        <v/>
      </c>
    </row>
    <row r="4">
      <c r="A4" t="n">
        <v>3</v>
      </c>
      <c r="B4">
        <f>'Вертикальные пропорции'!E4</f>
        <v/>
      </c>
      <c r="C4">
        <f>'Планировочные размеры'!C4</f>
        <v/>
      </c>
      <c r="D4">
        <f>'Степень замкнутости'!E4</f>
        <v/>
      </c>
      <c r="E4">
        <f>IF(B4="Высокий",1,IF(B4="Средний",0.5,0))</f>
        <v/>
      </c>
      <c r="F4">
        <f>IF(C4="Комфортная",1,0)</f>
        <v/>
      </c>
      <c r="G4">
        <f>IF(D4="Высокий",1,IF(D4="Средний",0.5,0))</f>
        <v/>
      </c>
      <c r="H4">
        <f>AVERAGE(E4:G4)</f>
        <v/>
      </c>
      <c r="I4">
        <f>IF(ROUND(H4,2)&gt;=$L$1,"Комфортная","Некомфортная")</f>
        <v/>
      </c>
    </row>
    <row r="5">
      <c r="A5" t="n">
        <v>4</v>
      </c>
      <c r="B5">
        <f>'Вертикальные пропорции'!E5</f>
        <v/>
      </c>
      <c r="C5">
        <f>'Планировочные размеры'!C5</f>
        <v/>
      </c>
      <c r="D5">
        <f>'Степень замкнутости'!E5</f>
        <v/>
      </c>
      <c r="E5">
        <f>IF(B5="Высокий",1,IF(B5="Средний",0.5,0))</f>
        <v/>
      </c>
      <c r="F5">
        <f>IF(C5="Комфортная",1,0)</f>
        <v/>
      </c>
      <c r="G5">
        <f>IF(D5="Высокий",1,IF(D5="Средний",0.5,0))</f>
        <v/>
      </c>
      <c r="H5">
        <f>AVERAGE(E5:G5)</f>
        <v/>
      </c>
      <c r="I5">
        <f>IF(ROUND(H5,2)&gt;=$L$1,"Комфортная","Некомфортная")</f>
        <v/>
      </c>
    </row>
    <row r="6">
      <c r="A6" t="n">
        <v>5</v>
      </c>
      <c r="B6">
        <f>'Вертикальные пропорции'!E6</f>
        <v/>
      </c>
      <c r="C6">
        <f>'Планировочные размеры'!C6</f>
        <v/>
      </c>
      <c r="D6">
        <f>'Степень замкнутости'!E6</f>
        <v/>
      </c>
      <c r="E6">
        <f>IF(B6="Высокий",1,IF(B6="Средний",0.5,0))</f>
        <v/>
      </c>
      <c r="F6">
        <f>IF(C6="Комфортная",1,0)</f>
        <v/>
      </c>
      <c r="G6">
        <f>IF(D6="Высокий",1,IF(D6="Средний",0.5,0))</f>
        <v/>
      </c>
      <c r="H6">
        <f>AVERAGE(E6:G6)</f>
        <v/>
      </c>
      <c r="I6">
        <f>IF(ROUND(H6,2)&gt;=$L$1,"Комфортная","Некомфортная")</f>
        <v/>
      </c>
    </row>
    <row r="7">
      <c r="A7" t="n">
        <v>6</v>
      </c>
      <c r="B7">
        <f>'Вертикальные пропорции'!E7</f>
        <v/>
      </c>
      <c r="C7">
        <f>'Планировочные размеры'!C7</f>
        <v/>
      </c>
      <c r="D7">
        <f>'Степень замкнутости'!E7</f>
        <v/>
      </c>
      <c r="E7">
        <f>IF(B7="Высокий",1,IF(B7="Средний",0.5,0))</f>
        <v/>
      </c>
      <c r="F7">
        <f>IF(C7="Комфортная",1,0)</f>
        <v/>
      </c>
      <c r="G7">
        <f>IF(D7="Высокий",1,IF(D7="Средний",0.5,0))</f>
        <v/>
      </c>
      <c r="H7">
        <f>AVERAGE(E7:G7)</f>
        <v/>
      </c>
      <c r="I7">
        <f>IF(ROUND(H7,2)&gt;=$L$1,"Комфортная","Некомфортная")</f>
        <v/>
      </c>
    </row>
    <row r="8">
      <c r="A8" t="n">
        <v>7</v>
      </c>
      <c r="B8">
        <f>'Вертикальные пропорции'!E8</f>
        <v/>
      </c>
      <c r="C8">
        <f>'Планировочные размеры'!C8</f>
        <v/>
      </c>
      <c r="D8">
        <f>'Степень замкнутости'!E8</f>
        <v/>
      </c>
      <c r="E8">
        <f>IF(B8="Высокий",1,IF(B8="Средний",0.5,0))</f>
        <v/>
      </c>
      <c r="F8">
        <f>IF(C8="Комфортная",1,0)</f>
        <v/>
      </c>
      <c r="G8">
        <f>IF(D8="Высокий",1,IF(D8="Средний",0.5,0))</f>
        <v/>
      </c>
      <c r="H8">
        <f>AVERAGE(E8:G8)</f>
        <v/>
      </c>
      <c r="I8">
        <f>IF(ROUND(H8,2)&gt;=$L$1,"Комфортная","Некомфортная")</f>
        <v/>
      </c>
    </row>
    <row r="9">
      <c r="A9" t="n">
        <v>8</v>
      </c>
      <c r="B9">
        <f>'Вертикальные пропорции'!E9</f>
        <v/>
      </c>
      <c r="C9">
        <f>'Планировочные размеры'!C9</f>
        <v/>
      </c>
      <c r="D9">
        <f>'Степень замкнутости'!E9</f>
        <v/>
      </c>
      <c r="E9">
        <f>IF(B9="Высокий",1,IF(B9="Средний",0.5,0))</f>
        <v/>
      </c>
      <c r="F9">
        <f>IF(C9="Комфортная",1,0)</f>
        <v/>
      </c>
      <c r="G9">
        <f>IF(D9="Высокий",1,IF(D9="Средний",0.5,0))</f>
        <v/>
      </c>
      <c r="H9">
        <f>AVERAGE(E9:G9)</f>
        <v/>
      </c>
      <c r="I9">
        <f>IF(ROUND(H9,2)&gt;=$L$1,"Комфортная","Некомфортная")</f>
        <v/>
      </c>
    </row>
    <row r="10">
      <c r="A10" t="n">
        <v>9</v>
      </c>
      <c r="B10">
        <f>'Вертикальные пропорции'!E10</f>
        <v/>
      </c>
      <c r="C10">
        <f>'Планировочные размеры'!C10</f>
        <v/>
      </c>
      <c r="D10">
        <f>'Степень замкнутости'!E10</f>
        <v/>
      </c>
      <c r="E10">
        <f>IF(B10="Высокий",1,IF(B10="Средний",0.5,0))</f>
        <v/>
      </c>
      <c r="F10">
        <f>IF(C10="Комфортная",1,0)</f>
        <v/>
      </c>
      <c r="G10">
        <f>IF(D10="Высокий",1,IF(D10="Средний",0.5,0))</f>
        <v/>
      </c>
      <c r="H10">
        <f>AVERAGE(E10:G10)</f>
        <v/>
      </c>
      <c r="I10">
        <f>IF(ROUND(H10,2)&gt;=$L$1,"Комфортная","Некомфортная")</f>
        <v/>
      </c>
    </row>
    <row r="11">
      <c r="A11" t="n">
        <v>10</v>
      </c>
      <c r="B11">
        <f>'Вертикальные пропорции'!E11</f>
        <v/>
      </c>
      <c r="C11">
        <f>'Планировочные размеры'!C11</f>
        <v/>
      </c>
      <c r="D11">
        <f>'Степень замкнутости'!E11</f>
        <v/>
      </c>
      <c r="E11">
        <f>IF(B11="Высокий",1,IF(B11="Средний",0.5,0))</f>
        <v/>
      </c>
      <c r="F11">
        <f>IF(C11="Комфортная",1,0)</f>
        <v/>
      </c>
      <c r="G11">
        <f>IF(D11="Высокий",1,IF(D11="Средний",0.5,0))</f>
        <v/>
      </c>
      <c r="H11">
        <f>AVERAGE(E11:G11)</f>
        <v/>
      </c>
      <c r="I11">
        <f>IF(ROUND(H11,2)&gt;=$L$1,"Комфортная","Некомфортная")</f>
        <v/>
      </c>
    </row>
    <row r="12">
      <c r="A12" t="n">
        <v>11</v>
      </c>
      <c r="B12">
        <f>'Вертикальные пропорции'!E12</f>
        <v/>
      </c>
      <c r="C12">
        <f>'Планировочные размеры'!C12</f>
        <v/>
      </c>
      <c r="D12">
        <f>'Степень замкнутости'!E12</f>
        <v/>
      </c>
      <c r="E12">
        <f>IF(B12="Высокий",1,IF(B12="Средний",0.5,0))</f>
        <v/>
      </c>
      <c r="F12">
        <f>IF(C12="Комфортная",1,0)</f>
        <v/>
      </c>
      <c r="G12">
        <f>IF(D12="Высокий",1,IF(D12="Средний",0.5,0))</f>
        <v/>
      </c>
      <c r="H12">
        <f>AVERAGE(E12:G12)</f>
        <v/>
      </c>
      <c r="I12">
        <f>IF(ROUND(H12,2)&gt;=$L$1,"Комфортная","Некомфортная")</f>
        <v/>
      </c>
    </row>
    <row r="13">
      <c r="A13" t="n">
        <v>12</v>
      </c>
      <c r="B13">
        <f>'Вертикальные пропорции'!E13</f>
        <v/>
      </c>
      <c r="C13">
        <f>'Планировочные размеры'!C13</f>
        <v/>
      </c>
      <c r="D13">
        <f>'Степень замкнутости'!E13</f>
        <v/>
      </c>
      <c r="E13">
        <f>IF(B13="Высокий",1,IF(B13="Средний",0.5,0))</f>
        <v/>
      </c>
      <c r="F13">
        <f>IF(C13="Комфортная",1,0)</f>
        <v/>
      </c>
      <c r="G13">
        <f>IF(D13="Высокий",1,IF(D13="Средний",0.5,0))</f>
        <v/>
      </c>
      <c r="H13">
        <f>AVERAGE(E13:G13)</f>
        <v/>
      </c>
      <c r="I13">
        <f>IF(ROUND(H13,2)&gt;=$L$1,"Комфортная","Некомфортная")</f>
        <v/>
      </c>
    </row>
    <row r="14">
      <c r="A14" t="n">
        <v>13</v>
      </c>
      <c r="B14">
        <f>'Вертикальные пропорции'!E14</f>
        <v/>
      </c>
      <c r="C14">
        <f>'Планировочные размеры'!C14</f>
        <v/>
      </c>
      <c r="D14">
        <f>'Степень замкнутости'!E14</f>
        <v/>
      </c>
      <c r="E14">
        <f>IF(B14="Высокий",1,IF(B14="Средний",0.5,0))</f>
        <v/>
      </c>
      <c r="F14">
        <f>IF(C14="Комфортная",1,0)</f>
        <v/>
      </c>
      <c r="G14">
        <f>IF(D14="Высокий",1,IF(D14="Средний",0.5,0))</f>
        <v/>
      </c>
      <c r="H14">
        <f>AVERAGE(E14:G14)</f>
        <v/>
      </c>
      <c r="I14">
        <f>IF(ROUND(H14,2)&gt;=$L$1,"Комфортная","Некомфортная")</f>
        <v/>
      </c>
    </row>
    <row r="15">
      <c r="A15" t="n">
        <v>14</v>
      </c>
      <c r="B15">
        <f>'Вертикальные пропорции'!E15</f>
        <v/>
      </c>
      <c r="C15">
        <f>'Планировочные размеры'!C15</f>
        <v/>
      </c>
      <c r="D15">
        <f>'Степень замкнутости'!E15</f>
        <v/>
      </c>
      <c r="E15">
        <f>IF(B15="Высокий",1,IF(B15="Средний",0.5,0))</f>
        <v/>
      </c>
      <c r="F15">
        <f>IF(C15="Комфортная",1,0)</f>
        <v/>
      </c>
      <c r="G15">
        <f>IF(D15="Высокий",1,IF(D15="Средний",0.5,0))</f>
        <v/>
      </c>
      <c r="H15">
        <f>AVERAGE(E15:G15)</f>
        <v/>
      </c>
      <c r="I15">
        <f>IF(ROUND(H15,2)&gt;=$L$1,"Комфортная","Некомфортная")</f>
        <v/>
      </c>
    </row>
    <row r="16">
      <c r="A16" t="n">
        <v>15</v>
      </c>
      <c r="B16">
        <f>'Вертикальные пропорции'!E16</f>
        <v/>
      </c>
      <c r="C16">
        <f>'Планировочные размеры'!C16</f>
        <v/>
      </c>
      <c r="D16">
        <f>'Степень замкнутости'!E16</f>
        <v/>
      </c>
      <c r="E16">
        <f>IF(B16="Высокий",1,IF(B16="Средний",0.5,0))</f>
        <v/>
      </c>
      <c r="F16">
        <f>IF(C16="Комфортная",1,0)</f>
        <v/>
      </c>
      <c r="G16">
        <f>IF(D16="Высокий",1,IF(D16="Средний",0.5,0))</f>
        <v/>
      </c>
      <c r="H16">
        <f>AVERAGE(E16:G16)</f>
        <v/>
      </c>
      <c r="I16">
        <f>IF(ROUND(H16,2)&gt;=$L$1,"Комфортная","Некомфортная")</f>
        <v/>
      </c>
    </row>
    <row r="17">
      <c r="A17" t="n">
        <v>16</v>
      </c>
      <c r="B17">
        <f>'Вертикальные пропорции'!E17</f>
        <v/>
      </c>
      <c r="C17">
        <f>'Планировочные размеры'!C17</f>
        <v/>
      </c>
      <c r="D17">
        <f>'Степень замкнутости'!E17</f>
        <v/>
      </c>
      <c r="E17">
        <f>IF(B17="Высокий",1,IF(B17="Средний",0.5,0))</f>
        <v/>
      </c>
      <c r="F17">
        <f>IF(C17="Комфортная",1,0)</f>
        <v/>
      </c>
      <c r="G17">
        <f>IF(D17="Высокий",1,IF(D17="Средний",0.5,0))</f>
        <v/>
      </c>
      <c r="H17">
        <f>AVERAGE(E17:G17)</f>
        <v/>
      </c>
      <c r="I17">
        <f>IF(ROUND(H17,2)&gt;=$L$1,"Комфортная","Некомфортная")</f>
        <v/>
      </c>
    </row>
    <row r="18">
      <c r="A18" t="n">
        <v>17</v>
      </c>
      <c r="B18">
        <f>'Вертикальные пропорции'!E18</f>
        <v/>
      </c>
      <c r="C18">
        <f>'Планировочные размеры'!C18</f>
        <v/>
      </c>
      <c r="D18">
        <f>'Степень замкнутости'!E18</f>
        <v/>
      </c>
      <c r="E18">
        <f>IF(B18="Высокий",1,IF(B18="Средний",0.5,0))</f>
        <v/>
      </c>
      <c r="F18">
        <f>IF(C18="Комфортная",1,0)</f>
        <v/>
      </c>
      <c r="G18">
        <f>IF(D18="Высокий",1,IF(D18="Средний",0.5,0))</f>
        <v/>
      </c>
      <c r="H18">
        <f>AVERAGE(E18:G18)</f>
        <v/>
      </c>
      <c r="I18">
        <f>IF(ROUND(H18,2)&gt;=$L$1,"Комфортная","Некомфортная")</f>
        <v/>
      </c>
    </row>
    <row r="19">
      <c r="A19" t="n">
        <v>18</v>
      </c>
      <c r="B19">
        <f>'Вертикальные пропорции'!E19</f>
        <v/>
      </c>
      <c r="C19">
        <f>'Планировочные размеры'!C19</f>
        <v/>
      </c>
      <c r="D19">
        <f>'Степень замкнутости'!E19</f>
        <v/>
      </c>
      <c r="E19">
        <f>IF(B19="Высокий",1,IF(B19="Средний",0.5,0))</f>
        <v/>
      </c>
      <c r="F19">
        <f>IF(C19="Комфортная",1,0)</f>
        <v/>
      </c>
      <c r="G19">
        <f>IF(D19="Высокий",1,IF(D19="Средний",0.5,0))</f>
        <v/>
      </c>
      <c r="H19">
        <f>AVERAGE(E19:G19)</f>
        <v/>
      </c>
      <c r="I19">
        <f>IF(ROUND(H19,2)&gt;=$L$1,"Комфортная","Некомфортная")</f>
        <v/>
      </c>
    </row>
    <row r="20">
      <c r="A20" t="n">
        <v>19</v>
      </c>
      <c r="B20">
        <f>'Вертикальные пропорции'!E20</f>
        <v/>
      </c>
      <c r="C20">
        <f>'Планировочные размеры'!C20</f>
        <v/>
      </c>
      <c r="D20">
        <f>'Степень замкнутости'!E20</f>
        <v/>
      </c>
      <c r="E20">
        <f>IF(B20="Высокий",1,IF(B20="Средний",0.5,0))</f>
        <v/>
      </c>
      <c r="F20">
        <f>IF(C20="Комфортная",1,0)</f>
        <v/>
      </c>
      <c r="G20">
        <f>IF(D20="Высокий",1,IF(D20="Средний",0.5,0))</f>
        <v/>
      </c>
      <c r="H20">
        <f>AVERAGE(E20:G20)</f>
        <v/>
      </c>
      <c r="I20">
        <f>IF(ROUND(H20,2)&gt;=$L$1,"Комфортная","Некомфортная")</f>
        <v/>
      </c>
    </row>
    <row r="21">
      <c r="A21" t="n">
        <v>20</v>
      </c>
      <c r="B21">
        <f>'Вертикальные пропорции'!E21</f>
        <v/>
      </c>
      <c r="C21">
        <f>'Планировочные размеры'!C21</f>
        <v/>
      </c>
      <c r="D21">
        <f>'Степень замкнутости'!E21</f>
        <v/>
      </c>
      <c r="E21">
        <f>IF(B21="Высокий",1,IF(B21="Средний",0.5,0))</f>
        <v/>
      </c>
      <c r="F21">
        <f>IF(C21="Комфортная",1,0)</f>
        <v/>
      </c>
      <c r="G21">
        <f>IF(D21="Высокий",1,IF(D21="Средний",0.5,0))</f>
        <v/>
      </c>
      <c r="H21">
        <f>AVERAGE(E21:G21)</f>
        <v/>
      </c>
      <c r="I21">
        <f>IF(ROUND(H21,2)&gt;=$L$1,"Комфортная","Некомфортная")</f>
        <v/>
      </c>
    </row>
    <row r="22">
      <c r="A22" t="n">
        <v>21</v>
      </c>
      <c r="B22">
        <f>'Вертикальные пропорции'!E22</f>
        <v/>
      </c>
      <c r="C22">
        <f>'Планировочные размеры'!C22</f>
        <v/>
      </c>
      <c r="D22">
        <f>'Степень замкнутости'!E22</f>
        <v/>
      </c>
      <c r="E22">
        <f>IF(B22="Высокий",1,IF(B22="Средний",0.5,0))</f>
        <v/>
      </c>
      <c r="F22">
        <f>IF(C22="Комфортная",1,0)</f>
        <v/>
      </c>
      <c r="G22">
        <f>IF(D22="Высокий",1,IF(D22="Средний",0.5,0))</f>
        <v/>
      </c>
      <c r="H22">
        <f>AVERAGE(E22:G22)</f>
        <v/>
      </c>
      <c r="I22">
        <f>IF(ROUND(H22,2)&gt;=$L$1,"Комфортная","Некомфортная")</f>
        <v/>
      </c>
    </row>
    <row r="23">
      <c r="A23" t="n">
        <v>22</v>
      </c>
      <c r="B23">
        <f>'Вертикальные пропорции'!E23</f>
        <v/>
      </c>
      <c r="C23">
        <f>'Планировочные размеры'!C23</f>
        <v/>
      </c>
      <c r="D23">
        <f>'Степень замкнутости'!E23</f>
        <v/>
      </c>
      <c r="E23">
        <f>IF(B23="Высокий",1,IF(B23="Средний",0.5,0))</f>
        <v/>
      </c>
      <c r="F23">
        <f>IF(C23="Комфортная",1,0)</f>
        <v/>
      </c>
      <c r="G23">
        <f>IF(D23="Высокий",1,IF(D23="Средний",0.5,0))</f>
        <v/>
      </c>
      <c r="H23">
        <f>AVERAGE(E23:G23)</f>
        <v/>
      </c>
      <c r="I23">
        <f>IF(ROUND(H23,2)&gt;=$L$1,"Комфортная","Некомфортная")</f>
        <v/>
      </c>
    </row>
    <row r="24">
      <c r="A24" t="n">
        <v>23</v>
      </c>
      <c r="B24">
        <f>'Вертикальные пропорции'!E24</f>
        <v/>
      </c>
      <c r="C24">
        <f>'Планировочные размеры'!C24</f>
        <v/>
      </c>
      <c r="D24">
        <f>'Степень замкнутости'!E24</f>
        <v/>
      </c>
      <c r="E24">
        <f>IF(B24="Высокий",1,IF(B24="Средний",0.5,0))</f>
        <v/>
      </c>
      <c r="F24">
        <f>IF(C24="Комфортная",1,0)</f>
        <v/>
      </c>
      <c r="G24">
        <f>IF(D24="Высокий",1,IF(D24="Средний",0.5,0))</f>
        <v/>
      </c>
      <c r="H24">
        <f>AVERAGE(E24:G24)</f>
        <v/>
      </c>
      <c r="I24">
        <f>IF(ROUND(H24,2)&gt;=$L$1,"Комфортная","Некомфортная")</f>
        <v/>
      </c>
    </row>
    <row r="25">
      <c r="A25" t="n">
        <v>24</v>
      </c>
      <c r="B25">
        <f>'Вертикальные пропорции'!E25</f>
        <v/>
      </c>
      <c r="C25">
        <f>'Планировочные размеры'!C25</f>
        <v/>
      </c>
      <c r="D25">
        <f>'Степень замкнутости'!E25</f>
        <v/>
      </c>
      <c r="E25">
        <f>IF(B25="Высокий",1,IF(B25="Средний",0.5,0))</f>
        <v/>
      </c>
      <c r="F25">
        <f>IF(C25="Комфортная",1,0)</f>
        <v/>
      </c>
      <c r="G25">
        <f>IF(D25="Высокий",1,IF(D25="Средний",0.5,0))</f>
        <v/>
      </c>
      <c r="H25">
        <f>AVERAGE(E25:G25)</f>
        <v/>
      </c>
      <c r="I25">
        <f>IF(ROUND(H25,2)&gt;=$L$1,"Комфортная","Некомфортная")</f>
        <v/>
      </c>
    </row>
    <row r="26">
      <c r="A26" t="n">
        <v>25</v>
      </c>
      <c r="B26">
        <f>'Вертикальные пропорции'!E26</f>
        <v/>
      </c>
      <c r="C26">
        <f>'Планировочные размеры'!C26</f>
        <v/>
      </c>
      <c r="D26">
        <f>'Степень замкнутости'!E26</f>
        <v/>
      </c>
      <c r="E26">
        <f>IF(B26="Высокий",1,IF(B26="Средний",0.5,0))</f>
        <v/>
      </c>
      <c r="F26">
        <f>IF(C26="Комфортная",1,0)</f>
        <v/>
      </c>
      <c r="G26">
        <f>IF(D26="Высокий",1,IF(D26="Средний",0.5,0))</f>
        <v/>
      </c>
      <c r="H26">
        <f>AVERAGE(E26:G26)</f>
        <v/>
      </c>
      <c r="I26">
        <f>IF(ROUND(H26,2)&gt;=$L$1,"Комфортная","Некомфортная")</f>
        <v/>
      </c>
    </row>
    <row r="27">
      <c r="A27" t="n">
        <v>26</v>
      </c>
      <c r="B27">
        <f>'Вертикальные пропорции'!E27</f>
        <v/>
      </c>
      <c r="C27">
        <f>'Планировочные размеры'!C27</f>
        <v/>
      </c>
      <c r="D27">
        <f>'Степень замкнутости'!E27</f>
        <v/>
      </c>
      <c r="E27">
        <f>IF(B27="Высокий",1,IF(B27="Средний",0.5,0))</f>
        <v/>
      </c>
      <c r="F27">
        <f>IF(C27="Комфортная",1,0)</f>
        <v/>
      </c>
      <c r="G27">
        <f>IF(D27="Высокий",1,IF(D27="Средний",0.5,0))</f>
        <v/>
      </c>
      <c r="H27">
        <f>AVERAGE(E27:G27)</f>
        <v/>
      </c>
      <c r="I27">
        <f>IF(ROUND(H27,2)&gt;=$L$1,"Комфортная","Некомфортная")</f>
        <v/>
      </c>
    </row>
    <row r="28">
      <c r="A28" t="n">
        <v>27</v>
      </c>
      <c r="B28">
        <f>'Вертикальные пропорции'!E28</f>
        <v/>
      </c>
      <c r="C28">
        <f>'Планировочные размеры'!C28</f>
        <v/>
      </c>
      <c r="D28">
        <f>'Степень замкнутости'!E28</f>
        <v/>
      </c>
      <c r="E28">
        <f>IF(B28="Высокий",1,IF(B28="Средний",0.5,0))</f>
        <v/>
      </c>
      <c r="F28">
        <f>IF(C28="Комфортная",1,0)</f>
        <v/>
      </c>
      <c r="G28">
        <f>IF(D28="Высокий",1,IF(D28="Средний",0.5,0))</f>
        <v/>
      </c>
      <c r="H28">
        <f>AVERAGE(E28:G28)</f>
        <v/>
      </c>
      <c r="I28">
        <f>IF(ROUND(H28,2)&gt;=$L$1,"Комфортная","Некомфортная")</f>
        <v/>
      </c>
    </row>
    <row r="29">
      <c r="A29" t="n">
        <v>28</v>
      </c>
      <c r="B29">
        <f>'Вертикальные пропорции'!E29</f>
        <v/>
      </c>
      <c r="C29">
        <f>'Планировочные размеры'!C29</f>
        <v/>
      </c>
      <c r="D29">
        <f>'Степень замкнутости'!E29</f>
        <v/>
      </c>
      <c r="E29">
        <f>IF(B29="Высокий",1,IF(B29="Средний",0.5,0))</f>
        <v/>
      </c>
      <c r="F29">
        <f>IF(C29="Комфортная",1,0)</f>
        <v/>
      </c>
      <c r="G29">
        <f>IF(D29="Высокий",1,IF(D29="Средний",0.5,0))</f>
        <v/>
      </c>
      <c r="H29">
        <f>AVERAGE(E29:G29)</f>
        <v/>
      </c>
      <c r="I29">
        <f>IF(ROUND(H29,2)&gt;=$L$1,"Комфортная","Некомфортная")</f>
        <v/>
      </c>
    </row>
    <row r="30">
      <c r="A30" t="n">
        <v>29</v>
      </c>
      <c r="B30">
        <f>'Вертикальные пропорции'!E30</f>
        <v/>
      </c>
      <c r="C30">
        <f>'Планировочные размеры'!C30</f>
        <v/>
      </c>
      <c r="D30">
        <f>'Степень замкнутости'!E30</f>
        <v/>
      </c>
      <c r="E30">
        <f>IF(B30="Высокий",1,IF(B30="Средний",0.5,0))</f>
        <v/>
      </c>
      <c r="F30">
        <f>IF(C30="Комфортная",1,0)</f>
        <v/>
      </c>
      <c r="G30">
        <f>IF(D30="Высокий",1,IF(D30="Средний",0.5,0))</f>
        <v/>
      </c>
      <c r="H30">
        <f>AVERAGE(E30:G30)</f>
        <v/>
      </c>
      <c r="I30">
        <f>IF(ROUND(H30,2)&gt;=$L$1,"Комфортная","Некомфортная")</f>
        <v/>
      </c>
    </row>
    <row r="31">
      <c r="A31" t="n">
        <v>30</v>
      </c>
      <c r="B31">
        <f>'Вертикальные пропорции'!E31</f>
        <v/>
      </c>
      <c r="C31">
        <f>'Планировочные размеры'!C31</f>
        <v/>
      </c>
      <c r="D31">
        <f>'Степень замкнутости'!E31</f>
        <v/>
      </c>
      <c r="E31">
        <f>IF(B31="Высокий",1,IF(B31="Средний",0.5,0))</f>
        <v/>
      </c>
      <c r="F31">
        <f>IF(C31="Комфортная",1,0)</f>
        <v/>
      </c>
      <c r="G31">
        <f>IF(D31="Высокий",1,IF(D31="Средний",0.5,0))</f>
        <v/>
      </c>
      <c r="H31">
        <f>AVERAGE(E31:G31)</f>
        <v/>
      </c>
      <c r="I31">
        <f>IF(ROUND(H31,2)&gt;=$L$1,"Комфортная","Некомфортная")</f>
        <v/>
      </c>
    </row>
    <row r="32">
      <c r="A32" t="n">
        <v>31</v>
      </c>
      <c r="B32">
        <f>'Вертикальные пропорции'!E32</f>
        <v/>
      </c>
      <c r="C32">
        <f>'Планировочные размеры'!C32</f>
        <v/>
      </c>
      <c r="D32">
        <f>'Степень замкнутости'!E32</f>
        <v/>
      </c>
      <c r="E32">
        <f>IF(B32="Высокий",1,IF(B32="Средний",0.5,0))</f>
        <v/>
      </c>
      <c r="F32">
        <f>IF(C32="Комфортная",1,0)</f>
        <v/>
      </c>
      <c r="G32">
        <f>IF(D32="Высокий",1,IF(D32="Средний",0.5,0))</f>
        <v/>
      </c>
      <c r="H32">
        <f>AVERAGE(E32:G32)</f>
        <v/>
      </c>
      <c r="I32">
        <f>IF(ROUND(H32,2)&gt;=$L$1,"Комфортная","Некомфортная")</f>
        <v/>
      </c>
    </row>
    <row r="33">
      <c r="A33" t="n">
        <v>32</v>
      </c>
      <c r="B33">
        <f>'Вертикальные пропорции'!E33</f>
        <v/>
      </c>
      <c r="C33">
        <f>'Планировочные размеры'!C33</f>
        <v/>
      </c>
      <c r="D33">
        <f>'Степень замкнутости'!E33</f>
        <v/>
      </c>
      <c r="E33">
        <f>IF(B33="Высокий",1,IF(B33="Средний",0.5,0))</f>
        <v/>
      </c>
      <c r="F33">
        <f>IF(C33="Комфортная",1,0)</f>
        <v/>
      </c>
      <c r="G33">
        <f>IF(D33="Высокий",1,IF(D33="Средний",0.5,0))</f>
        <v/>
      </c>
      <c r="H33">
        <f>AVERAGE(E33:G33)</f>
        <v/>
      </c>
      <c r="I33">
        <f>IF(ROUND(H33,2)&gt;=$L$1,"Комфортная","Некомфортная")</f>
        <v/>
      </c>
    </row>
    <row r="34">
      <c r="A34" t="n">
        <v>33</v>
      </c>
      <c r="B34">
        <f>'Вертикальные пропорции'!E34</f>
        <v/>
      </c>
      <c r="C34">
        <f>'Планировочные размеры'!C34</f>
        <v/>
      </c>
      <c r="D34">
        <f>'Степень замкнутости'!E34</f>
        <v/>
      </c>
      <c r="E34">
        <f>IF(B34="Высокий",1,IF(B34="Средний",0.5,0))</f>
        <v/>
      </c>
      <c r="F34">
        <f>IF(C34="Комфортная",1,0)</f>
        <v/>
      </c>
      <c r="G34">
        <f>IF(D34="Высокий",1,IF(D34="Средний",0.5,0))</f>
        <v/>
      </c>
      <c r="H34">
        <f>AVERAGE(E34:G34)</f>
        <v/>
      </c>
      <c r="I34">
        <f>IF(ROUND(H34,2)&gt;=$L$1,"Комфортная","Некомфортная")</f>
        <v/>
      </c>
    </row>
    <row r="35">
      <c r="A35" t="n">
        <v>34</v>
      </c>
      <c r="B35">
        <f>'Вертикальные пропорции'!E35</f>
        <v/>
      </c>
      <c r="C35">
        <f>'Планировочные размеры'!C35</f>
        <v/>
      </c>
      <c r="D35">
        <f>'Степень замкнутости'!E35</f>
        <v/>
      </c>
      <c r="E35">
        <f>IF(B35="Высокий",1,IF(B35="Средний",0.5,0))</f>
        <v/>
      </c>
      <c r="F35">
        <f>IF(C35="Комфортная",1,0)</f>
        <v/>
      </c>
      <c r="G35">
        <f>IF(D35="Высокий",1,IF(D35="Средний",0.5,0))</f>
        <v/>
      </c>
      <c r="H35">
        <f>AVERAGE(E35:G35)</f>
        <v/>
      </c>
      <c r="I35">
        <f>IF(ROUND(H35,2)&gt;=$L$1,"Комфортная","Некомфортная")</f>
        <v/>
      </c>
    </row>
    <row r="36">
      <c r="A36" t="n">
        <v>35</v>
      </c>
      <c r="B36">
        <f>'Вертикальные пропорции'!E36</f>
        <v/>
      </c>
      <c r="C36">
        <f>'Планировочные размеры'!C36</f>
        <v/>
      </c>
      <c r="D36">
        <f>'Степень замкнутости'!E36</f>
        <v/>
      </c>
      <c r="E36">
        <f>IF(B36="Высокий",1,IF(B36="Средний",0.5,0))</f>
        <v/>
      </c>
      <c r="F36">
        <f>IF(C36="Комфортная",1,0)</f>
        <v/>
      </c>
      <c r="G36">
        <f>IF(D36="Высокий",1,IF(D36="Средний",0.5,0))</f>
        <v/>
      </c>
      <c r="H36">
        <f>AVERAGE(E36:G36)</f>
        <v/>
      </c>
      <c r="I36">
        <f>IF(ROUND(H36,2)&gt;=$L$1,"Комфортная","Некомфортная")</f>
        <v/>
      </c>
    </row>
    <row r="37">
      <c r="A37" t="n">
        <v>36</v>
      </c>
      <c r="B37">
        <f>'Вертикальные пропорции'!E37</f>
        <v/>
      </c>
      <c r="C37">
        <f>'Планировочные размеры'!C37</f>
        <v/>
      </c>
      <c r="D37">
        <f>'Степень замкнутости'!E37</f>
        <v/>
      </c>
      <c r="E37">
        <f>IF(B37="Высокий",1,IF(B37="Средний",0.5,0))</f>
        <v/>
      </c>
      <c r="F37">
        <f>IF(C37="Комфортная",1,0)</f>
        <v/>
      </c>
      <c r="G37">
        <f>IF(D37="Высокий",1,IF(D37="Средний",0.5,0))</f>
        <v/>
      </c>
      <c r="H37">
        <f>AVERAGE(E37:G37)</f>
        <v/>
      </c>
      <c r="I37">
        <f>IF(ROUND(H37,2)&gt;=$L$1,"Комфортная","Некомфортная")</f>
        <v/>
      </c>
    </row>
    <row r="38">
      <c r="A38" t="n">
        <v>37</v>
      </c>
      <c r="B38">
        <f>'Вертикальные пропорции'!E38</f>
        <v/>
      </c>
      <c r="C38">
        <f>'Планировочные размеры'!C38</f>
        <v/>
      </c>
      <c r="D38">
        <f>'Степень замкнутости'!E38</f>
        <v/>
      </c>
      <c r="E38">
        <f>IF(B38="Высокий",1,IF(B38="Средний",0.5,0))</f>
        <v/>
      </c>
      <c r="F38">
        <f>IF(C38="Комфортная",1,0)</f>
        <v/>
      </c>
      <c r="G38">
        <f>IF(D38="Высокий",1,IF(D38="Средний",0.5,0))</f>
        <v/>
      </c>
      <c r="H38">
        <f>AVERAGE(E38:G38)</f>
        <v/>
      </c>
      <c r="I38">
        <f>IF(ROUND(H38,2)&gt;=$L$1,"Комфортная","Некомфортная")</f>
        <v/>
      </c>
    </row>
    <row r="39">
      <c r="A39" t="n">
        <v>38</v>
      </c>
      <c r="B39">
        <f>'Вертикальные пропорции'!E39</f>
        <v/>
      </c>
      <c r="C39">
        <f>'Планировочные размеры'!C39</f>
        <v/>
      </c>
      <c r="D39">
        <f>'Степень замкнутости'!E39</f>
        <v/>
      </c>
      <c r="E39">
        <f>IF(B39="Высокий",1,IF(B39="Средний",0.5,0))</f>
        <v/>
      </c>
      <c r="F39">
        <f>IF(C39="Комфортная",1,0)</f>
        <v/>
      </c>
      <c r="G39">
        <f>IF(D39="Высокий",1,IF(D39="Средний",0.5,0))</f>
        <v/>
      </c>
      <c r="H39">
        <f>AVERAGE(E39:G39)</f>
        <v/>
      </c>
      <c r="I39">
        <f>IF(ROUND(H39,2)&gt;=$L$1,"Комфортная","Некомфортная")</f>
        <v/>
      </c>
    </row>
    <row r="40">
      <c r="A40" t="n">
        <v>39</v>
      </c>
      <c r="B40">
        <f>'Вертикальные пропорции'!E40</f>
        <v/>
      </c>
      <c r="C40">
        <f>'Планировочные размеры'!C40</f>
        <v/>
      </c>
      <c r="D40">
        <f>'Степень замкнутости'!E40</f>
        <v/>
      </c>
      <c r="E40">
        <f>IF(B40="Высокий",1,IF(B40="Средний",0.5,0))</f>
        <v/>
      </c>
      <c r="F40">
        <f>IF(C40="Комфортная",1,0)</f>
        <v/>
      </c>
      <c r="G40">
        <f>IF(D40="Высокий",1,IF(D40="Средний",0.5,0))</f>
        <v/>
      </c>
      <c r="H40">
        <f>AVERAGE(E40:G40)</f>
        <v/>
      </c>
      <c r="I40">
        <f>IF(ROUND(H40,2)&gt;=$L$1,"Комфортная","Некомфортная")</f>
        <v/>
      </c>
    </row>
    <row r="41">
      <c r="A41" t="n">
        <v>40</v>
      </c>
      <c r="B41">
        <f>'Вертикальные пропорции'!E41</f>
        <v/>
      </c>
      <c r="C41">
        <f>'Планировочные размеры'!C41</f>
        <v/>
      </c>
      <c r="D41">
        <f>'Степень замкнутости'!E41</f>
        <v/>
      </c>
      <c r="E41">
        <f>IF(B41="Высокий",1,IF(B41="Средний",0.5,0))</f>
        <v/>
      </c>
      <c r="F41">
        <f>IF(C41="Комфортная",1,0)</f>
        <v/>
      </c>
      <c r="G41">
        <f>IF(D41="Высокий",1,IF(D41="Средний",0.5,0))</f>
        <v/>
      </c>
      <c r="H41">
        <f>AVERAGE(E41:G41)</f>
        <v/>
      </c>
      <c r="I41">
        <f>IF(ROUND(H41,2)&gt;=$L$1,"Комфортная","Некомфортная")</f>
        <v/>
      </c>
    </row>
    <row r="42">
      <c r="A42" t="n">
        <v>41</v>
      </c>
      <c r="B42">
        <f>'Вертикальные пропорции'!E42</f>
        <v/>
      </c>
      <c r="C42">
        <f>'Планировочные размеры'!C42</f>
        <v/>
      </c>
      <c r="D42">
        <f>'Степень замкнутости'!E42</f>
        <v/>
      </c>
      <c r="E42">
        <f>IF(B42="Высокий",1,IF(B42="Средний",0.5,0))</f>
        <v/>
      </c>
      <c r="F42">
        <f>IF(C42="Комфортная",1,0)</f>
        <v/>
      </c>
      <c r="G42">
        <f>IF(D42="Высокий",1,IF(D42="Средний",0.5,0))</f>
        <v/>
      </c>
      <c r="H42">
        <f>AVERAGE(E42:G42)</f>
        <v/>
      </c>
      <c r="I42">
        <f>IF(ROUND(H42,2)&gt;=$L$1,"Комфортная","Некомфортная")</f>
        <v/>
      </c>
    </row>
    <row r="43">
      <c r="A43" t="n">
        <v>42</v>
      </c>
      <c r="B43">
        <f>'Вертикальные пропорции'!E43</f>
        <v/>
      </c>
      <c r="C43">
        <f>'Планировочные размеры'!C43</f>
        <v/>
      </c>
      <c r="D43">
        <f>'Степень замкнутости'!E43</f>
        <v/>
      </c>
      <c r="E43">
        <f>IF(B43="Высокий",1,IF(B43="Средний",0.5,0))</f>
        <v/>
      </c>
      <c r="F43">
        <f>IF(C43="Комфортная",1,0)</f>
        <v/>
      </c>
      <c r="G43">
        <f>IF(D43="Высокий",1,IF(D43="Средний",0.5,0))</f>
        <v/>
      </c>
      <c r="H43">
        <f>AVERAGE(E43:G43)</f>
        <v/>
      </c>
      <c r="I43">
        <f>IF(ROUND(H43,2)&gt;=$L$1,"Комфортная","Некомфортная")</f>
        <v/>
      </c>
    </row>
    <row r="44">
      <c r="A44" t="n">
        <v>43</v>
      </c>
      <c r="B44">
        <f>'Вертикальные пропорции'!E44</f>
        <v/>
      </c>
      <c r="C44">
        <f>'Планировочные размеры'!C44</f>
        <v/>
      </c>
      <c r="D44">
        <f>'Степень замкнутости'!E44</f>
        <v/>
      </c>
      <c r="E44">
        <f>IF(B44="Высокий",1,IF(B44="Средний",0.5,0))</f>
        <v/>
      </c>
      <c r="F44">
        <f>IF(C44="Комфортная",1,0)</f>
        <v/>
      </c>
      <c r="G44">
        <f>IF(D44="Высокий",1,IF(D44="Средний",0.5,0))</f>
        <v/>
      </c>
      <c r="H44">
        <f>AVERAGE(E44:G44)</f>
        <v/>
      </c>
      <c r="I44">
        <f>IF(ROUND(H44,2)&gt;=$L$1,"Комфортная","Некомфортная")</f>
        <v/>
      </c>
    </row>
    <row r="45">
      <c r="A45" t="n">
        <v>44</v>
      </c>
      <c r="B45">
        <f>'Вертикальные пропорции'!E45</f>
        <v/>
      </c>
      <c r="C45">
        <f>'Планировочные размеры'!C45</f>
        <v/>
      </c>
      <c r="D45">
        <f>'Степень замкнутости'!E45</f>
        <v/>
      </c>
      <c r="E45">
        <f>IF(B45="Высокий",1,IF(B45="Средний",0.5,0))</f>
        <v/>
      </c>
      <c r="F45">
        <f>IF(C45="Комфортная",1,0)</f>
        <v/>
      </c>
      <c r="G45">
        <f>IF(D45="Высокий",1,IF(D45="Средний",0.5,0))</f>
        <v/>
      </c>
      <c r="H45">
        <f>AVERAGE(E45:G45)</f>
        <v/>
      </c>
      <c r="I45">
        <f>IF(ROUND(H45,2)&gt;=$L$1,"Комфортная","Некомфортная")</f>
        <v/>
      </c>
    </row>
    <row r="46">
      <c r="A46" t="n">
        <v>45</v>
      </c>
      <c r="B46">
        <f>'Вертикальные пропорции'!E46</f>
        <v/>
      </c>
      <c r="C46">
        <f>'Планировочные размеры'!C46</f>
        <v/>
      </c>
      <c r="D46">
        <f>'Степень замкнутости'!E46</f>
        <v/>
      </c>
      <c r="E46">
        <f>IF(B46="Высокий",1,IF(B46="Средний",0.5,0))</f>
        <v/>
      </c>
      <c r="F46">
        <f>IF(C46="Комфортная",1,0)</f>
        <v/>
      </c>
      <c r="G46">
        <f>IF(D46="Высокий",1,IF(D46="Средний",0.5,0))</f>
        <v/>
      </c>
      <c r="H46">
        <f>AVERAGE(E46:G46)</f>
        <v/>
      </c>
      <c r="I46">
        <f>IF(ROUND(H46,2)&gt;=$L$1,"Комфортная","Некомфортная")</f>
        <v/>
      </c>
    </row>
    <row r="47">
      <c r="A47" t="n">
        <v>46</v>
      </c>
      <c r="B47">
        <f>'Вертикальные пропорции'!E47</f>
        <v/>
      </c>
      <c r="C47">
        <f>'Планировочные размеры'!C47</f>
        <v/>
      </c>
      <c r="D47">
        <f>'Степень замкнутости'!E47</f>
        <v/>
      </c>
      <c r="E47">
        <f>IF(B47="Высокий",1,IF(B47="Средний",0.5,0))</f>
        <v/>
      </c>
      <c r="F47">
        <f>IF(C47="Комфортная",1,0)</f>
        <v/>
      </c>
      <c r="G47">
        <f>IF(D47="Высокий",1,IF(D47="Средний",0.5,0))</f>
        <v/>
      </c>
      <c r="H47">
        <f>AVERAGE(E47:G47)</f>
        <v/>
      </c>
      <c r="I47">
        <f>IF(ROUND(H47,2)&gt;=$L$1,"Комфортная","Некомфортная")</f>
        <v/>
      </c>
    </row>
    <row r="48">
      <c r="A48" t="n">
        <v>47</v>
      </c>
      <c r="B48">
        <f>'Вертикальные пропорции'!E48</f>
        <v/>
      </c>
      <c r="C48">
        <f>'Планировочные размеры'!C48</f>
        <v/>
      </c>
      <c r="D48">
        <f>'Степень замкнутости'!E48</f>
        <v/>
      </c>
      <c r="E48">
        <f>IF(B48="Высокий",1,IF(B48="Средний",0.5,0))</f>
        <v/>
      </c>
      <c r="F48">
        <f>IF(C48="Комфортная",1,0)</f>
        <v/>
      </c>
      <c r="G48">
        <f>IF(D48="Высокий",1,IF(D48="Средний",0.5,0))</f>
        <v/>
      </c>
      <c r="H48">
        <f>AVERAGE(E48:G48)</f>
        <v/>
      </c>
      <c r="I48">
        <f>IF(ROUND(H48,2)&gt;=$L$1,"Комфортная","Некомфортная")</f>
        <v/>
      </c>
    </row>
    <row r="49">
      <c r="A49" t="n">
        <v>48</v>
      </c>
      <c r="B49">
        <f>'Вертикальные пропорции'!E49</f>
        <v/>
      </c>
      <c r="C49">
        <f>'Планировочные размеры'!C49</f>
        <v/>
      </c>
      <c r="D49">
        <f>'Степень замкнутости'!E49</f>
        <v/>
      </c>
      <c r="E49">
        <f>IF(B49="Высокий",1,IF(B49="Средний",0.5,0))</f>
        <v/>
      </c>
      <c r="F49">
        <f>IF(C49="Комфортная",1,0)</f>
        <v/>
      </c>
      <c r="G49">
        <f>IF(D49="Высокий",1,IF(D49="Средний",0.5,0))</f>
        <v/>
      </c>
      <c r="H49">
        <f>AVERAGE(E49:G49)</f>
        <v/>
      </c>
      <c r="I49">
        <f>IF(ROUND(H49,2)&gt;=$L$1,"Комфортная","Некомфортная")</f>
        <v/>
      </c>
    </row>
    <row r="50">
      <c r="A50" t="n">
        <v>49</v>
      </c>
      <c r="B50">
        <f>'Вертикальные пропорции'!E50</f>
        <v/>
      </c>
      <c r="C50">
        <f>'Планировочные размеры'!C50</f>
        <v/>
      </c>
      <c r="D50">
        <f>'Степень замкнутости'!E50</f>
        <v/>
      </c>
      <c r="E50">
        <f>IF(B50="Высокий",1,IF(B50="Средний",0.5,0))</f>
        <v/>
      </c>
      <c r="F50">
        <f>IF(C50="Комфортная",1,0)</f>
        <v/>
      </c>
      <c r="G50">
        <f>IF(D50="Высокий",1,IF(D50="Средний",0.5,0))</f>
        <v/>
      </c>
      <c r="H50">
        <f>AVERAGE(E50:G50)</f>
        <v/>
      </c>
      <c r="I50">
        <f>IF(ROUND(H50,2)&gt;=$L$1,"Комфортная","Некомфортная")</f>
        <v/>
      </c>
    </row>
    <row r="51">
      <c r="A51" t="n">
        <v>50</v>
      </c>
      <c r="B51">
        <f>'Вертикальные пропорции'!E51</f>
        <v/>
      </c>
      <c r="C51">
        <f>'Планировочные размеры'!C51</f>
        <v/>
      </c>
      <c r="D51">
        <f>'Степень замкнутости'!E51</f>
        <v/>
      </c>
      <c r="E51">
        <f>IF(B51="Высокий",1,IF(B51="Средний",0.5,0))</f>
        <v/>
      </c>
      <c r="F51">
        <f>IF(C51="Комфортная",1,0)</f>
        <v/>
      </c>
      <c r="G51">
        <f>IF(D51="Высокий",1,IF(D51="Средний",0.5,0))</f>
        <v/>
      </c>
      <c r="H51">
        <f>AVERAGE(E51:G51)</f>
        <v/>
      </c>
      <c r="I51">
        <f>IF(ROUND(H51,2)&gt;=$L$1,"Комфортная","Некомфортная")</f>
        <v/>
      </c>
    </row>
    <row r="52">
      <c r="A52" t="n">
        <v>51</v>
      </c>
      <c r="B52">
        <f>'Вертикальные пропорции'!E52</f>
        <v/>
      </c>
      <c r="C52">
        <f>'Планировочные размеры'!C52</f>
        <v/>
      </c>
      <c r="D52">
        <f>'Степень замкнутости'!E52</f>
        <v/>
      </c>
      <c r="E52">
        <f>IF(B52="Высокий",1,IF(B52="Средний",0.5,0))</f>
        <v/>
      </c>
      <c r="F52">
        <f>IF(C52="Комфортная",1,0)</f>
        <v/>
      </c>
      <c r="G52">
        <f>IF(D52="Высокий",1,IF(D52="Средний",0.5,0))</f>
        <v/>
      </c>
      <c r="H52">
        <f>AVERAGE(E52:G52)</f>
        <v/>
      </c>
      <c r="I52">
        <f>IF(ROUND(H52,2)&gt;=$L$1,"Комфортная","Некомфортная")</f>
        <v/>
      </c>
    </row>
    <row r="53">
      <c r="A53" t="n">
        <v>52</v>
      </c>
      <c r="B53">
        <f>'Вертикальные пропорции'!E53</f>
        <v/>
      </c>
      <c r="C53">
        <f>'Планировочные размеры'!C53</f>
        <v/>
      </c>
      <c r="D53">
        <f>'Степень замкнутости'!E53</f>
        <v/>
      </c>
      <c r="E53">
        <f>IF(B53="Высокий",1,IF(B53="Средний",0.5,0))</f>
        <v/>
      </c>
      <c r="F53">
        <f>IF(C53="Комфортная",1,0)</f>
        <v/>
      </c>
      <c r="G53">
        <f>IF(D53="Высокий",1,IF(D53="Средний",0.5,0))</f>
        <v/>
      </c>
      <c r="H53">
        <f>AVERAGE(E53:G53)</f>
        <v/>
      </c>
      <c r="I53">
        <f>IF(ROUND(H53,2)&gt;=$L$1,"Комфортная","Некомфортная")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2026-10-12T01:22:37Z</dcterms:created>
  <dcterms:modified xmlns:dcterms="http://purl.org/dc/terms/" xmlns:xsi="http://www.w3.org/2001/XMLSchema-instance" xsi:type="dcterms:W3CDTF">2026-10-12T01:22:37Z</dcterms:modified>
</cp:coreProperties>
</file>